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60" activeTab="3"/>
  </bookViews>
  <sheets>
    <sheet name="报价单" sheetId="1" r:id="rId1"/>
    <sheet name="数据库（价格维护）" sheetId="2" r:id="rId2"/>
    <sheet name="使用方法" sheetId="3" r:id="rId3"/>
    <sheet name="网络" sheetId="5" r:id="rId4"/>
  </sheets>
  <definedNames>
    <definedName name="机箱">'数据库（价格维护）'!$I:$I</definedName>
    <definedName name="内存">'数据库（价格维护）'!#REF!</definedName>
    <definedName name="显卡">'数据库（价格维护）'!$M:$M</definedName>
    <definedName name="显示器">'数据库（价格维护）'!$A:$A</definedName>
    <definedName name="音频系统">'数据库（价格维护）'!$Q:$Q</definedName>
    <definedName name="LED屏">'数据库（价格维护）'!$C:$C</definedName>
    <definedName name="投影机">'数据库（价格维护）'!$E:$E</definedName>
    <definedName name="互动方式">'数据库（价格维护）'!$G:$G</definedName>
    <definedName name="处理器">'数据库（价格维护）'!$K:$K</definedName>
    <definedName name="硬盘">'数据库（价格维护）'!#REF!</definedName>
    <definedName name="传输方式">'数据库（价格维护）'!$O:$O</definedName>
    <definedName name="辅材">'数据库（价格维护）'!$S:$S</definedName>
    <definedName name="一">'数据库（价格维护）'!$U:$U</definedName>
    <definedName name="二">'数据库（价格维护）'!$W:$W</definedName>
    <definedName name="三">'数据库（价格维护）'!$Y:$Y</definedName>
    <definedName name="四">'数据库（价格维护）'!$AA:$AA</definedName>
    <definedName name="五">'数据库（价格维护）'!$AC:$AC</definedName>
    <definedName name="六">'数据库（价格维护）'!$AE:$AE</definedName>
    <definedName name="七">'数据库（价格维护）'!$AG:$AG</definedName>
    <definedName name="八">'数据库（价格维护）'!$AI:$AI</definedName>
    <definedName name="九">'数据库（价格维护）'!$AK:$AK</definedName>
    <definedName name="十">'数据库（价格维护）'!$AM:$AM</definedName>
    <definedName name="十一">'数据库（价格维护）'!$AO:$AO</definedName>
    <definedName name="十二">'数据库（价格维护）'!$AQ:$AQ</definedName>
    <definedName name="十三">'数据库（价格维护）'!$AS:$AS</definedName>
    <definedName name="十四">'数据库（价格维护）'!$AU:$AU</definedName>
    <definedName name="十五">'数据库（价格维护）'!$AW:$AW</definedName>
    <definedName name="十六">'数据库（价格维护）'!$AY:$AY</definedName>
    <definedName name="十七">'数据库（价格维护）'!$BA:$BA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<sst xmlns="http://schemas.openxmlformats.org/spreadsheetml/2006/main" count="650" uniqueCount="284">
  <si>
    <t>配件名称</t>
  </si>
  <si>
    <t>规格</t>
  </si>
  <si>
    <t>单价</t>
  </si>
  <si>
    <t>数量</t>
  </si>
  <si>
    <t>合计</t>
  </si>
  <si>
    <t>备注</t>
  </si>
  <si>
    <t>显示器</t>
  </si>
  <si>
    <t>10.1 英寸
比例：16:10
分辨率：1280×800
可视区域：218×136 mm
整机尺寸：240×150×20 mm
重量：0.6–0.8 kg
功率：10–15 W
亮度：400–500 cd/㎡
对比度：1000:1</t>
  </si>
  <si>
    <t>LED屏</t>
  </si>
  <si>
    <t>投影机</t>
  </si>
  <si>
    <t>互动方式</t>
  </si>
  <si>
    <t>机箱</t>
  </si>
  <si>
    <t>主板</t>
  </si>
  <si>
    <t>显卡</t>
  </si>
  <si>
    <t>传输方式</t>
  </si>
  <si>
    <t>音频系统</t>
  </si>
  <si>
    <t>辅材</t>
  </si>
  <si>
    <t>影片</t>
  </si>
  <si>
    <t>智慧展馆运维管理程序
功能：客流统计、设备巡检、故障报警、运行日志、远程控制
专业参数：数据采集频率≤5s；支持 Modbus/OpcUa 协议；提供 API 接口与第三方系统对接；支持移动端管理。</t>
  </si>
  <si>
    <t>其它</t>
  </si>
  <si>
    <t>使用前    更新数据库</t>
  </si>
  <si>
    <t>生成参数：</t>
  </si>
  <si>
    <t>税点</t>
  </si>
  <si>
    <t>金额</t>
  </si>
  <si>
    <t>利润</t>
  </si>
  <si>
    <t>总价</t>
  </si>
  <si>
    <t>计算器</t>
  </si>
  <si>
    <t>https://4kwjstdndc4ww.aiforce.cloud/app/app_17dv0xu8t0y</t>
  </si>
  <si>
    <t>显示器价格</t>
  </si>
  <si>
    <t>LED屏价格</t>
  </si>
  <si>
    <t>投影机价格</t>
  </si>
  <si>
    <t>互动方式价格</t>
  </si>
  <si>
    <t>机箱价格</t>
  </si>
  <si>
    <t>配置价格</t>
  </si>
  <si>
    <t>显卡价格</t>
  </si>
  <si>
    <t>传输方式价格</t>
  </si>
  <si>
    <t>音频系统价格</t>
  </si>
  <si>
    <t>辅材价格</t>
  </si>
  <si>
    <t>LED主控器</t>
  </si>
  <si>
    <t>产品价格</t>
  </si>
  <si>
    <t>二</t>
  </si>
  <si>
    <t>三</t>
  </si>
  <si>
    <t>程序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</si>
  <si>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</si>
  <si>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</si>
  <si>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</si>
  <si>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</si>
  <si>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</si>
  <si>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</si>
  <si>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</si>
  <si>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</si>
  <si>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</si>
  <si>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</si>
  <si>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</si>
  <si>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</si>
  <si>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</si>
  <si>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</si>
  <si>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</si>
  <si>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</si>
  <si>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</si>
  <si>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</si>
  <si>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</si>
  <si>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</si>
  <si>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</si>
  <si>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二十七</t>
  </si>
  <si>
    <t>二十八</t>
  </si>
  <si>
    <t>二十九</t>
  </si>
  <si>
    <t>三十</t>
  </si>
  <si>
    <t>三十一</t>
  </si>
  <si>
    <t>三十二</t>
  </si>
  <si>
    <t>三十三</t>
  </si>
  <si>
    <t>三十四</t>
  </si>
  <si>
    <r>
      <rPr>
        <sz val="10"/>
        <color rgb="FF000000"/>
        <rFont val="宋体"/>
        <charset val="134"/>
        <scheme val="minor"/>
      </rPr>
      <t>10.1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比例：16:10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分辨率：1280×800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可视区域：218×136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整机尺寸：240×150×20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重量：0.6–0.8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功率：10–15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亮度：400–500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对比度：1000:1</t>
    </r>
  </si>
  <si>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P0.9 Micro LED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基础规格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点间距：0.9375mm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像素密度：1,137,777 dots/㎡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模组尺寸：300×168.75mm（分辨率320×180）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封装技术：全倒装COB封装，表面防撞耐磨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箱体尺寸：600×337.5mm（标准16:9拼接）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显示性能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亮度：600-800 cd/㎡（支持0-800cd/㎡智能调节）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对比度：≥20,000:1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刷新率：7680Hz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灰度等级：16-20bit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色域：≥95% DCI-P3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可视角度：水平170°/垂直160°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配套适配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电源配置：1㎡配置2台400W/5V冗余电源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接收卡：1㎡配置0.5张高端接收卡（单卡带载≥500万像素）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功耗：最大450W/㎡，平均150W/㎡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线缆：RVV 3×4mm²主缆+3×2.5mm²分缆，配套抗干扰扁平线</t>
    </r>
  </si>
  <si>
    <t>亮度≥6000 流明（ISO）、1080P 分辨率、≥10000:1 动态对比度，DLP 技术，可换镜头，支持 HDR10+/HLG、≥95% DCI-P3 色域；机身约 520×400×220mm、≤15kg，支持吊装；接口含 HDMI、USB 2.0×2、RJ45 千兆 、RS232、VGA；具备 ±50° 梯校、360° 旋转、边缘融合、几何校正，兼容主流中控，IP54 防护、-15℃-50℃宽温、7×24 小时运行，支持远程监控 ；电源 AC 100-240V（50/60Hz），额定功耗≤400W、待机≤0.5W，带断电记忆。</t>
  </si>
  <si>
    <t>电容式多点触摸；</t>
  </si>
  <si>
    <t>内置主板支持网络唤醒定时：</t>
  </si>
  <si>
    <t>CPU:I5八代\内存:8G\硬盘128G；</t>
  </si>
  <si>
    <t>显卡：核显；</t>
  </si>
  <si>
    <t>视频网传：RJ45 千兆 ，支持 4K@60Hz， H.264/H.265 编码，网线传 100m，级联可延长，延迟 200ms~1s（编码）/&lt;50ms（无压缩），支持多对多传输</t>
  </si>
  <si>
    <r>
      <rPr>
        <sz val="10"/>
        <color rgb="FF000000"/>
        <rFont val="宋体"/>
        <charset val="134"/>
        <scheme val="minor"/>
      </rPr>
      <t>功放：双通道，8Ω 每路 500W，频响 20Hz-20kHz±0.5dB，失真≤0.05%，信噪比 &gt; 100dB，支持双声道 / 桥接模式。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专业音响（2 只）：8Ω 额定功率 500W，频响 50Hz-20kHz，灵敏度 98dB，全频扬声器单元，支持 Speakon 接口连接。</t>
    </r>
  </si>
  <si>
    <t>网络跳线面板、固定结构、辅助配件、工具耗材</t>
  </si>
  <si>
    <t>- 输出网口：1 路千兆网口
- 最大带载像素：65 万像素
- 最大分辨率：2048×320
- 视频输入：HDMI×1
- 存储：8G 本地存储，U 盘脱机播放
- 控制接口：RS232，支持中控指令切换节目、调节亮度、黑屏
- 灰度等级：16bit，刷新率 1920‑3840Hz
- 音频：3.5mm 音频输出
- 兼容模组：室内 P1.25‑P5，支持 1/8、1/16、1/32 扫
- 设备形态：盒式 130×85×30mm
- 供电：AC220V
- 保护功能：信号丢失黑屏、过热保护</t>
  </si>
  <si>
    <r>
      <rPr>
        <sz val="11"/>
        <color rgb="FF000000"/>
        <rFont val="宋体"/>
        <charset val="134"/>
        <scheme val="minor"/>
      </rPr>
      <t>图文剪辑包装片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参数：1080P，30s-3min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工作量：素材整理、图文排版、基础转场、字幕配乐、简易配音剪辑，无实拍、无动画、无特效，1-2 人 1-3 天完成</t>
    </r>
  </si>
  <si>
    <r>
      <rPr>
        <sz val="11"/>
        <color rgb="FF000000"/>
        <rFont val="宋体"/>
        <charset val="134"/>
        <scheme val="minor"/>
      </rPr>
      <t>中控总控程序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功能：一键开关机、场景模式、信号切换、时序联动、灯光音响同步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专业参数：支持 TCP/IP、RS232、DMX512 协议；单系统支持≥100 个设备节点；指令响应时间≤100ms；兼容 Windows/Linux 系统。</t>
    </r>
  </si>
  <si>
    <r>
      <rPr>
        <sz val="10"/>
        <color rgb="FF000000"/>
        <rFont val="宋体"/>
        <charset val="134"/>
        <scheme val="minor"/>
      </rPr>
      <t>15.6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分辨率：1920×1080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可视区域：345×194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整机尺寸：370×220×25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重量：1.2–1.5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功率：15–20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亮度：400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对比度：1200:1</t>
    </r>
  </si>
  <si>
    <r>
      <rPr>
        <sz val="10"/>
        <color rgb="FF000000"/>
        <rFont val="宋体"/>
        <charset val="134"/>
        <scheme val="minor"/>
      </rPr>
      <t>P1.25 COB/SMD显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基础规格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点间距：1.25mm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像素密度：640,000 dots/㎡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模组尺寸：320×160mm（分辨率256×128）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封装技术：COB/SMD可选，支持前维护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箱体尺寸：640×480mm（标准拼接）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显示性能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亮度：800-1000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对比度：≥10,000:1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刷新率：3840Hz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灰度等级：16bit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色域：≥90% BT.2020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可视角度：水平160°/垂直150°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配套适配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电源配置：1㎡配置2台400W/5V电源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接收卡：1㎡配置0.25张标准接收卡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功耗：最大550W/㎡，平均200W/㎡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线缆：RVV 3×4mm²主缆+3×2.5mm²分缆</t>
    </r>
  </si>
  <si>
    <t>亮度≥8000 流明（ISO）、1080P 分辨率、≥10000:1 动态对比度，DLP 技术，可换镜头，支持 HDR10+/HLG、≥95% DCI-P3 色域；机身约 550×430×250mm、≤18kg，工程级加固机身，支持吊装；接口含 HDMI 、USBRJ45 千兆、RS232、VGA；具备 ±50° 梯校、360° 几何校正，兼容主流中控，IP54 防护、-15℃-50℃宽温、7×24 小时运行，支持远程监控 ；电源 AC 100-240V（50/60Hz），额定功耗≤450W、待机≤0.5W，带断电记忆。</t>
  </si>
  <si>
    <t>红外多点触摸；</t>
  </si>
  <si>
    <t>OPS主机支持网络唤醒定时：</t>
  </si>
  <si>
    <t>CPU:I7八代\内存:8G\硬盘128G；</t>
  </si>
  <si>
    <t>显卡：独显2GB；</t>
  </si>
  <si>
    <t>视频光传：LC单模接口，4K@60Hz 无压缩传输，单模 20km~80km，延迟 &lt; 1ms，兼容 HDR/HDCP，支持双向音频、RS232/IR 回传</t>
  </si>
  <si>
    <r>
      <rPr>
        <sz val="10"/>
        <color rgb="FF000000"/>
        <rFont val="宋体"/>
        <charset val="134"/>
        <scheme val="minor"/>
      </rPr>
      <t>功放：四通道可选，8Ω 每路 600W，频响 20Hz-20kHz±0.3dB，失真≤0.03%，支持立体声 / 桥接模式，4 芯 Speakon 输出。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专业音响（4 只）：8Ω 额定功率 600W，频响 45Hz-20kHz，灵敏度 100dB，全频单元，支持 Speakon 接口0</t>
    </r>
  </si>
  <si>
    <t>视音频跳线、网络跳线面板、固定结构、辅助配件、工具耗材</t>
  </si>
  <si>
    <t>- 输出网口：4 路千兆网口
- 最大带载像素：260 万像素
- 最大分辨率：4096×1024
- 视频输入：HDMI×2、DVI
- 存储：8G 本地存储，U 盘脱机播放
- 控制接口：RS232，中控可调用节目、亮度调节、黑屏控制，支持逐点校正
- 灰度等级：16bit，刷新率 1920‑3840Hz
- 音频：3.5mm 音频输出
- 兼容模组：室内 P1.25‑P5，支持 1/8、1/16、1/32 扫
- 设备形态：盒式，可选 1U 机架安装
- 供电：AC220V
- 保护功能：信号丢失黑屏、过热保护</t>
  </si>
  <si>
    <r>
      <rPr>
        <sz val="11"/>
        <color rgb="FF000000"/>
        <rFont val="宋体"/>
        <charset val="134"/>
        <scheme val="minor"/>
      </rPr>
      <t>实拍素材剪辑 / MG 二维动画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参数：1080P-4K，1-5min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工作量：脚本梳理、现有影像精剪调色、播音配音、简易片头包装；MG 动画含扁平化图形设计、流程动画制作，3 人团队 5-10 天</t>
    </r>
  </si>
  <si>
    <r>
      <rPr>
        <sz val="11"/>
        <color rgb="FF000000"/>
        <rFont val="宋体"/>
        <charset val="134"/>
        <scheme val="minor"/>
      </rPr>
      <t>触摸屏互动查询程序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功能：图文浏览、视频点播、分类检索、触摸跳转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专业参数：基于 Unity/Unreal/Web 开发；支持 4K/8K 分辨率；触摸响应时间≤50ms；支持 10 点以上多点触控。</t>
    </r>
  </si>
  <si>
    <r>
      <rPr>
        <sz val="10"/>
        <color rgb="FF000000"/>
        <rFont val="宋体"/>
        <charset val="134"/>
        <scheme val="minor"/>
      </rPr>
      <t>19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分辨率：1366×768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可视区域：421×237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整机尺寸：435×255×30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重量：2.0–2.5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功率：20–25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亮度：450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对比度：1500:1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</si>
  <si>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0"/>
        <color rgb="FF000000"/>
        <rFont val="微软雅黑"/>
        <charset val="134"/>
      </rPr>
      <t>基础规格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点间距：1.86mm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像素密度：288,000 dots/㎡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模组尺寸：320×160mm（分辨率172×86）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封装技术：SMD 1515黑灯封装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箱体尺寸：640×480mm（标准拼接）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显示性能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亮度：800-1000 cd/㎡（支持低亮高灰）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对比度：≥5,000:1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刷新率：3840Hz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灰度等级：14-16bit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色域：≥85% NTSC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可视角度：水平160°/垂直150°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配套适配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电源配置：1㎡配置2台400W/5V电源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接收卡：1㎡配置0.25张接收卡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功耗：最大500W/㎡，平均180W/㎡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线缆：RVV 3×4mm²主缆+3×2.5mm²分缆</t>
    </r>
  </si>
  <si>
    <t>亮度≥10000 流明（ISO）、1080P 分辨率、≥10000:1 动态对比度，DLP 技术，可换镜头，支持 HDR10+/HLG、≥95% DCI-P3 色域；机身约 580×460×280mm、≤22kg，工程级加固机身，支持吊装；接口含 HDMI 2.1×3（4K/60Hz）、USB 3.0×2、RJ45 千兆 ×2、RS232×2、VGA×1；具备 ±50° 梯校、360° 旋转、边缘融合、几何校正，兼容主流中控，IP54 防护、-15℃-50℃宽温、7×24 小时运行，支持远程监控 / 批量升级 / 参数备份；电源 AC 100-240V（50/60Hz），额定功耗≤550W、待机≤0.5W，带断电记忆。</t>
  </si>
  <si>
    <t>超大红外触摸；</t>
  </si>
  <si>
    <t>小型机箱支持网络唤醒定时：</t>
  </si>
  <si>
    <t>CPU:I5十代以上;\内存:8G\硬盘128G；</t>
  </si>
  <si>
    <t>显卡：独显8GB；</t>
  </si>
  <si>
    <t>USB2.0网传：USB3.0 转 RJ45，速率最高 5Gbps（实际约 3Gbps），六类线传 100m，兼容 USB2.0/1.1，支持 U 盘、相机等外设，延迟 10~50ms</t>
  </si>
  <si>
    <r>
      <rPr>
        <sz val="10"/>
        <color rgb="FF000000"/>
        <rFont val="宋体"/>
        <charset val="134"/>
        <scheme val="minor"/>
      </rPr>
      <t>功放：四通道，8Ω 每路 600W，频响 20Hz-20kHz，失真≤0.03%，支持桥接。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专业音响（4 只）：8Ω/600W，频响 45Hz-20kHz，灵敏度 100dB，Speakon 接口。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低音音响（1 只）：8Ω/800W，频响 35Hz-150Hz，灵敏度 102dB，双 12 英寸单元。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音频处理器：4 进 6 出，支持 24dB/oct 分频，带 EQ / 延时 / 限幅功能，适配全频 + 低音系统。</t>
    </r>
  </si>
  <si>
    <t>- 输出网口：8 路千兆网口
- 最大带载像素：520 万像素
- 最大分辨率：8192×1536
- 视频输入：HDMI×3、DVI、DP
- 存储：8G 本地存储，U 盘脱机播放
- 控制接口：RS232；支持多窗口漫游、双机冗余备份、设备状态网络回读、多屏分区独立画面、逐点校正，支持 4K 信号输入
- 灰度等级：16bit，刷新率 1920‑3840Hz
- 音频：3.5mm 音频输出
- 兼容模组：室内 P1.25‑P5，支持 1/8、1/16、1/32 扫
- 设备形态：1U 机架式
- 供电：AC220V
- 保护功能：信号丢失黑屏、过热保护</t>
  </si>
  <si>
    <r>
      <rPr>
        <sz val="11"/>
        <color rgb="FF000000"/>
        <rFont val="宋体"/>
        <charset val="134"/>
        <scheme val="minor"/>
      </rPr>
      <t>全流程实景宣传片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参数：4K 超清，2-6min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工作量：前期策划踩点、专业剧组拍摄、航拍取景、场景布光、电影级调色、高级特效包装、音效混音，5-8 人团队 15-30 天</t>
    </r>
  </si>
  <si>
    <r>
      <rPr>
        <sz val="11"/>
        <color rgb="FF000000"/>
        <rFont val="宋体"/>
        <charset val="134"/>
        <scheme val="minor"/>
      </rPr>
      <t>多通道弧幕 / 环幕同步播放程序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功能：画面融合、帧同步、多机拼接、无错位无缝联动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专业参数：支持 2-12 通道同步；同步精度≤1ms；支持 H.264/ProRes/DNxHD 编码；支持软硬件融合校正。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工作量：画面矫正、点位调试工作量大。</t>
    </r>
  </si>
  <si>
    <r>
      <rPr>
        <sz val="10"/>
        <color rgb="FF000000"/>
        <rFont val="宋体"/>
        <charset val="134"/>
        <scheme val="minor"/>
      </rPr>
      <t>27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分辨率：1080P / 2K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可视区域：597×336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整机尺寸：620×360×40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重量：5.0–6.5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功率：30–40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亮度：500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对比度：2000:1</t>
    </r>
  </si>
  <si>
    <r>
      <rPr>
        <sz val="10"/>
        <color rgb="FF000000"/>
        <rFont val="宋体"/>
        <charset val="134"/>
        <scheme val="minor"/>
      </rPr>
      <t>基础规格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点间距：2.5mm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像素密度：160,000 dots/㎡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模组尺寸：320×160mm（分辨率128×64）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封装技术：SMD 2121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箱体尺寸：640×480mm（标准拼接）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显示性能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亮度：1000-1200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对比度：≥5,000:1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刷新率：3840Hz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灰度等级：14-16bit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色域：≥85% NTSC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可视角度：水平160°/垂直150°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配套适配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电源配置：1㎡配置2台400W/5V电源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接收卡：1㎡配置0.25张接收卡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功耗：最大450W/㎡，平均150W/㎡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线缆：RVV 3×4mm²主缆+3×2.5mm²分缆</t>
    </r>
  </si>
  <si>
    <t>亮度≥8000 流明（ISO）、3840*2160分辨率、≥10000:1 动态对比度，DLP 技术，可换镜头，支持 HDR10+/HLG、≥95% DCI-P3 色域；机身约 550×430×250mm、≤18.5g，工程级加固机身，支持吊装；接口含 HDMI 2.1×3（4K/60Hz）、USB 3.0×2、RJ45 千兆 ×2、RS232×2、VGA×1；具备 ±50° 梯校、360° 旋转、边缘融合、几何校正，兼容主流中控，IP54 防护、-15℃-50℃宽温、7×24 小时运行，支持远程监控 / 批量升级 / 参数备份；电源 AC 100-240V（50/60Hz），额定功耗≤450W、待机≤0.5W，带断电记忆。</t>
  </si>
  <si>
    <t>红外视觉识别系统：1080P/4K 分辨率、30-60fps 帧率，探测距离 0.5-20m，夜间无补光识别且抗强光干扰，输出目标坐标与轨迹；接口 RJ45/USB3.0，配套 SDK 开发包，支持 API/ROS 接口对接，可定制数据输出格式；</t>
  </si>
  <si>
    <t>A型工作站支持网络唤醒定时：</t>
  </si>
  <si>
    <t>CPU:I7十代以上;\内存:16G\硬盘256G；</t>
  </si>
  <si>
    <t>显卡：独显16GB；</t>
  </si>
  <si>
    <t>USB3.0光传：LC/SC 单 / 多模接口，5Gbps 无损传输，多模传 500m~2km、单模 20km~100km，抗电磁干扰，支持多设备级联、即插即用。</t>
  </si>
  <si>
    <t>超声波定向:指向 &lt;15°(-20dB)；声压 78-83±3dB@2m；功率 15-20W；24V DC/3A；尺寸约 290×170×30mm</t>
  </si>
  <si>
    <t>- 输出网口：12 路千兆网口
- 最大带载像素：780 万像素
- 最大分辨率：16000×3840
- 视频输入：HDMI×4、DVI、DP
- 存储：8G 本地存储，U 盘脱机播放
- 控制接口：RS232；支持多图层拼接、超大分辨率输出、接收卡在线升级、多屏幕独立输出、逐点校正、音频同步输出
- 灰度等级：16bit，刷新率 1920‑3840Hz
- 音频：3.5mm 音频输出
- 兼容模组：室内 P1.25‑P5，支持 1/8、1/16、1/32 扫
- 设备形态：2U 机架式
- 供电：AC220V
- 保护功能：信号丢失黑屏、过热保护</t>
  </si>
  <si>
    <r>
      <rPr>
        <sz val="11"/>
        <color rgb="FF000000"/>
        <rFont val="宋体"/>
        <charset val="134"/>
        <scheme val="minor"/>
      </rPr>
      <t>弧幕 / 环幕沉浸式专用影片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参数：超宽全景画幅、4K-8K，适配多通道融合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工作量：专属超广角镜头设计、画面畸变矫正、多通道画面缝合、逐帧校准拼接无缝衔接，额外增加画幅适配专项工序</t>
    </r>
  </si>
  <si>
    <r>
      <rPr>
        <sz val="11"/>
        <color rgb="FF000000"/>
        <rFont val="宋体"/>
        <charset val="134"/>
        <scheme val="minor"/>
      </rPr>
      <t>数字沙盘灯光联动程序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功能：沙盘灯光点位编程、影片与光影同步联动、区位动态演示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专业参数：支持 DMX512/Art-Net等 协议；单系统支持≥512 个控制点位；灯光与视频同步精度≤50ms</t>
    </r>
  </si>
  <si>
    <r>
      <rPr>
        <sz val="10"/>
        <color rgb="FF000000"/>
        <rFont val="宋体"/>
        <charset val="134"/>
        <scheme val="minor"/>
      </rPr>
      <t>32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分辨率：1080P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可视区域：708×398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整机尺寸：730×420×50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重量：7.0–9.0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功率：40–60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亮度：500–600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对比度：2000:1</t>
    </r>
  </si>
  <si>
    <r>
      <rPr>
        <sz val="10"/>
        <color rgb="FF000000"/>
        <rFont val="宋体"/>
        <charset val="134"/>
        <scheme val="minor"/>
      </rPr>
      <t>基础规格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点间距：3.91mm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像素密度：65,478 dots/㎡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模组尺寸：320×160mm（分辨率82×41）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封装技术：SMD 1921室内黑灯封装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模组厚度：≤18mm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显示性能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亮度：1200-1500 cd/㎡（室内舒适亮度，支持0-1500cd/㎡智能调节）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对比度：≥5,000:1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刷新率：≥3840Hz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灰度等级：14-16bit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防护等级：IP43（室内防尘）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可视角度：水平160°/垂直150°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配套适配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电源配置：1㎡配置1-2台400W/5V电源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接收卡：1㎡配置0.25-0.5张接收卡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功耗：最大600W/㎡，平均200W/㎡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线缆：RVV 3×2.5mm²主缆+3×1.5mm²分缆</t>
    </r>
  </si>
  <si>
    <t>亮度≥6500 流明，1080P 分辨率，100 万：1 动态对比度（开启），均匀性＞90%，兼容 16:9/4:3 等多宽高比；0.233:1 超短焦反射式镜头，120-180 英寸投影，±30° 梯校 + 四角矫正；输入接口含 VGA、DVI-I、HDMI、Ypbpr、3D VESA、HD-Baset、RJ45、USB 等，输出含 D-Sub、Audio、H/P OUT，控制端口 RS232/USB mini B/LAN；功耗 610W（待机≤0.5W），100-240V AC，10W 扬声器，高亮 2 万 / 节能 2.5 万小时寿命；尺寸 720×472×166mm，裸重 24.5KG，噪音 34-38DB-A；支持前投 / 背投、桌面 / 吊装、720° 任意安装，外观银 / 黑，工作温度 0-40℃，储藏 - 10-60℃。</t>
  </si>
  <si>
    <t>雷达识别交互系统：24GHz/77GHz 毫米波雷达，探测角度 ±60°，测距精度 ±0.1m，支持多目标跟踪，输出距离、速度、角度信息；通讯接口 RS485 / 以太网，提供二次开发接口，支持协议定制与多系统联动；</t>
  </si>
  <si>
    <t>B型工作站支持网络唤醒定时：</t>
  </si>
  <si>
    <t>CPU:I9十代以上;\内存:32G\硬盘1T；</t>
  </si>
  <si>
    <t>显卡：独显24GB；</t>
  </si>
  <si>
    <t>光纤HDMI:HDMI2.0/2.1 接口，带宽 18Gbps/48Gbps，对应 4K@60Hz/8K@60Hz，多模传 50m~300m，线径细、抗弯折，支持 HDR10+/eARC</t>
  </si>
  <si>
    <r>
      <rPr>
        <sz val="10"/>
        <color rgb="FF000000"/>
        <rFont val="宋体"/>
        <charset val="134"/>
        <scheme val="minor"/>
      </rPr>
      <t>DSP 相控阵音柱：波束覆盖角：垂直 15°~60° 软件无级可调（0.1° 步进）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有效距离：2–12m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旁瓣 / 后方衰减：≥45dB，区域外低串音、低反射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频率响应：80Hz–18kHz 全频高保真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额定功率：240W 内置 D 类有源功放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供电：AC220V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支持：人体感应启停、AMX 中控协议、Dante 网络、多台分区组网（可选）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调试软件：PC 端3D 可视化声场建模，圈定听音区自动匹配波束，实时改角度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安装：约长：1200mm宽：110mm厚：75mm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重量：8.5kg壁挂 / 吊装;</t>
    </r>
  </si>
  <si>
    <r>
      <rPr>
        <sz val="11"/>
        <color rgb="FF000000"/>
        <rFont val="宋体"/>
        <charset val="134"/>
        <scheme val="minor"/>
      </rPr>
      <t>3D 三维建筑 / 古建漫游动画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参数：4K-8K 三维渲染影片，2-5min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工作量：场景三维建模、材质灯光渲染、建筑路径动画、结构可视化复原，建模 + 渲染周期长，10 人以上团队 30-60 天</t>
    </r>
  </si>
  <si>
    <r>
      <rPr>
        <sz val="11"/>
        <color rgb="FF000000"/>
        <rFont val="宋体"/>
        <charset val="134"/>
        <scheme val="minor"/>
      </rPr>
      <t>体感 / 手势互动程序/机械互动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功能：隔空控制、人体触发互动、答题交互、场景切换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专业参数：支持 Kinect/Leap Motion 等设备；手势识别准确率≥95%；动作响应时间≤150ms；基于 Unity/Unreal 引擎开发。</t>
    </r>
  </si>
  <si>
    <r>
      <rPr>
        <sz val="10"/>
        <color rgb="FF000000"/>
        <rFont val="宋体"/>
        <charset val="134"/>
        <scheme val="minor"/>
      </rPr>
      <t>43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分辨率：1080P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可视区域：942×529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整机尺寸：970×560×60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重量：12–16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功率：70–90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亮度：600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对比度：3000:1</t>
    </r>
  </si>
  <si>
    <r>
      <rPr>
        <sz val="10"/>
        <color rgb="FF000000"/>
        <rFont val="宋体"/>
        <charset val="134"/>
        <scheme val="minor"/>
      </rPr>
      <t>基础规格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点间距：5mm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像素密度：40,000 dots/㎡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模组尺寸：320×160mm（分辨率64×32）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封装技术：SMD 2727户外高亮封装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模组厚度：≤20mm（带面罩）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显示性能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亮度：≥5000 cd/㎡（支持阳光直射下清晰可见）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对比度：≥4,000:1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刷新率：≥3840Hz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灰度等级：14-16bit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防护等级：IP65（正面完全防水，背面防尘）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可视角度：水平140°/垂直120°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配套适配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电源配置：1㎡配置1台400W/5V户外防水电源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接收卡：1㎡配置0.2张接收卡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功耗：最大800W/㎡，平均280W/㎡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线缆：RVV 3×4mm²主缆+3×2.5mm²分缆（配套防水接头）</t>
    </r>
  </si>
  <si>
    <t>手势识别互动：支持 5-10 种核心手势，识别距离 0.3-3m，响应延迟＜100ms，兼容 Windows/Android，USB 即插即用；配套开发工具包，支持接口适配与手势自定义开发；</t>
  </si>
  <si>
    <t>音视频播放器</t>
  </si>
  <si>
    <t>八核 2.0G\4+32G\安卓 11\WiFi \网口 GPIO；</t>
  </si>
  <si>
    <r>
      <rPr>
        <sz val="11"/>
        <color rgb="FF000000"/>
        <rFont val="宋体"/>
        <charset val="134"/>
        <scheme val="minor"/>
      </rPr>
      <t>CAVE 折幕 / 裸眼 3D 空间影片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参数：多面联动全景 8K 影片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工作量：三维空间镜头规划、多屏画面对位、立体景深制作、软硬件逐帧同步调试、空间画面无缝匹配</t>
    </r>
  </si>
  <si>
    <t>200000+</t>
  </si>
  <si>
    <r>
      <rPr>
        <sz val="11"/>
        <color rgb="FF000000"/>
        <rFont val="宋体"/>
        <charset val="134"/>
        <scheme val="minor"/>
      </rPr>
      <t>CAVE 折幕 / 多面空间联动程序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功能：四面屏空间对位、三维景深同步、软硬件深度耦合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专业参数：支持 3-6 面屏幕联动；立体成像支持主动 / 被动式；分辨率支持单屏 4K；空间定位精度≤0.1°。</t>
    </r>
  </si>
  <si>
    <r>
      <rPr>
        <sz val="10"/>
        <color rgb="FF000000"/>
        <rFont val="宋体"/>
        <charset val="134"/>
        <scheme val="minor"/>
      </rPr>
      <t>50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分辨率：1080P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可视区域：1107×623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整机尺寸：1140×660×70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重量：16–20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功率：90–120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亮度：600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对比度：3000:1</t>
    </r>
  </si>
  <si>
    <r>
      <rPr>
        <sz val="10"/>
        <color rgb="FF000000"/>
        <rFont val="宋体"/>
        <charset val="134"/>
        <scheme val="minor"/>
      </rPr>
      <t>基础规格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点间距：10mm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像素密度：10,000 dots/㎡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模组尺寸：320×160mm（分辨率32×16）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封装技术：SMD 3535户外高亮封装（或直插灯）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模组厚度：≤22mm（带面罩）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显示性能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亮度：≥6000 cd/㎡（强光环境下可视）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对比度：≥3,000:1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刷新率：≥1920Hz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灰度等级：12-14bit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防护等级：IP65（正面完全防水，背面防尘）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可视角度：水平140°/垂直120°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配套适配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电源配置：1㎡配置1台400W/5V户外防水电源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接收卡：1㎡配置0.1张接收卡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功耗：最大800W/㎡，平均300W/㎡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线缆：RVV 3×4mm²主缆+3×2.5mm²分缆（配套防水接头）</t>
    </r>
  </si>
  <si>
    <t>体感识别套件：深度摄像头 + 算法模组，识别距离 0.5-5m、帧率 30fps，全身 15-22 骨骼点追踪、多人识别；接口 USB / 以太网，提供 SDK 二次开发支持，适配虚拟交互动作数据对接；</t>
  </si>
  <si>
    <t>IO\播控播放器</t>
  </si>
  <si>
    <t>四核 2.0G\2+16G\安卓 9\网口；</t>
  </si>
  <si>
    <r>
      <rPr>
        <sz val="11"/>
        <color rgb="FF000000"/>
        <rFont val="宋体"/>
        <charset val="134"/>
        <scheme val="minor"/>
      </rPr>
      <t>智慧展馆运维管理程序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功能：客流统计、设备巡检、故障报警、运行日志、远程控制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专业参数：数据采集频率≤5s；支持 Modbus/OpcUa 协议；提供 API 接口与第三方系统对接；支持移动端管理。</t>
    </r>
  </si>
  <si>
    <r>
      <rPr>
        <sz val="10"/>
        <color rgb="FF000000"/>
        <rFont val="宋体"/>
        <charset val="134"/>
        <scheme val="minor"/>
      </rPr>
      <t>55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分辨率：2K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可视区域：1218×685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整机尺寸：1250×720×70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重量：18–24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功率：120–150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亮度：700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对比度：3000:1</t>
    </r>
  </si>
  <si>
    <t>IO\感应\射频遥控输入，UDP\TCP\485,继电器输出控制器</t>
  </si>
  <si>
    <t>可视中控播放器</t>
  </si>
  <si>
    <r>
      <rPr>
        <sz val="10"/>
        <color rgb="FF000000"/>
        <rFont val="宋体"/>
        <charset val="134"/>
        <scheme val="minor"/>
      </rPr>
      <t>65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分辨率：4K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可视区域：1457×819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整机尺寸：1490×855×80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重量：25–32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功率：150–180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亮度：700–800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对比度：4000:1</t>
    </r>
  </si>
  <si>
    <t>视频融合播放器</t>
  </si>
  <si>
    <r>
      <rPr>
        <sz val="10"/>
        <color rgb="FF000000"/>
        <rFont val="宋体"/>
        <charset val="134"/>
        <scheme val="minor"/>
      </rPr>
      <t>75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分辨率：4K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可视区域：1670×939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整机尺寸：1710×980×85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重量：35–45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功率：180–220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亮度：800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对比度：4000:1</t>
    </r>
  </si>
  <si>
    <t>网传光传可加：USB2.0\串口\红外（单功能50元）</t>
  </si>
  <si>
    <r>
      <rPr>
        <sz val="10"/>
        <color rgb="FF000000"/>
        <rFont val="宋体"/>
        <charset val="134"/>
        <scheme val="minor"/>
      </rPr>
      <t>86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分辨率：4K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可视区域：1890×1060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整机尺寸：1930×1100×90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重量：50–65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功率：250–350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亮度：800–1000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对比度：5000:1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</si>
  <si>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1"/>
        <color rgb="FF000000"/>
        <rFont val="宋体"/>
        <charset val="134"/>
        <scheme val="minor"/>
      </rPr>
      <t>(4K)P620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显存：2GB GDDR5，128bit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单口最高：5120×2880 @ 60Hz（DP 1.4）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多口带载：4 屏，每屏 4096×2160@60Hz（4×mDP）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 / 尺寸：40W，半高单槽，约 140 × 68 mm</t>
    </r>
  </si>
  <si>
    <r>
      <rPr>
        <sz val="10"/>
        <color rgb="FF000000"/>
        <rFont val="宋体"/>
        <charset val="134"/>
        <scheme val="minor"/>
      </rPr>
      <t>98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分辨率：4K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可视区域：2170×1220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整机尺寸：2210×1260×100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重量：70–90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功率：350–450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亮度：1000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对比度：5000:1</t>
    </r>
  </si>
  <si>
    <r>
      <rPr>
        <sz val="11"/>
        <color rgb="FF000000"/>
        <rFont val="宋体"/>
        <charset val="134"/>
        <scheme val="minor"/>
      </rPr>
      <t xml:space="preserve">(8K)RTX 3050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显存：8GB GDDR6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单口最高：8K@60Hz（DP 1.4）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多口带载：4 屏（3DP+1HDMI），4×4K@60Hz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功耗：130W</t>
    </r>
  </si>
  <si>
    <r>
      <rPr>
        <sz val="10"/>
        <color rgb="FF000000"/>
        <rFont val="宋体"/>
        <charset val="134"/>
        <scheme val="minor"/>
      </rPr>
      <t>120 英寸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比例：16:9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分辨率：4K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可视区域：2656×1494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整机尺寸：2700×1540×120 mm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重量：130–180 kg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功率：500–800 W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亮度：1200–1500 cd/㎡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对比度：10000:1；</t>
    </r>
  </si>
  <si>
    <r>
      <rPr>
        <sz val="11"/>
        <color rgb="FF000000"/>
        <rFont val="宋体"/>
        <charset val="134"/>
        <scheme val="minor"/>
      </rPr>
      <t>RTX 3060 12G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显存：12GB GDDR6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单口最高：8K@60Hz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多口带载：4 屏，4×4K@60Hz，支持拼接墙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功耗：170W</t>
    </r>
  </si>
  <si>
    <t>46寸-3.5mm型一、产品规格：尺寸1022×577×80（HWD，mm） 重量：11kg</t>
  </si>
  <si>
    <r>
      <rPr>
        <sz val="11"/>
        <color rgb="FF000000"/>
        <rFont val="宋体"/>
        <charset val="134"/>
        <scheme val="minor"/>
      </rPr>
      <t>RTX A4000 16G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显存：16GB GDDR6（ECC）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单口最高：8K@60Hz（DP 1.4a）NVIDIA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多口带载：4 屏，4×4K@120Hz / 2×8K@60Hz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 / 尺寸：140W，单槽</t>
    </r>
  </si>
  <si>
    <t>46寸-0.88mm型一、产品规格：尺寸1022×577×80（HWD，mm） 重量：11kg</t>
  </si>
  <si>
    <r>
      <rPr>
        <sz val="11"/>
        <color rgb="FF000000"/>
        <rFont val="宋体"/>
        <charset val="134"/>
        <scheme val="minor"/>
      </rPr>
      <t xml:space="preserve">RTX A5000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显存：24GB GDDR6 ECC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单口分辨率：8K@60Hz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多口带载：4×DP，4 屏 8K@60Hz，支持 Mosaic 拼接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功耗：230W</t>
    </r>
  </si>
  <si>
    <t>12000+</t>
  </si>
  <si>
    <t>55寸-3.5mm型一、产品规格：尺寸1214×685×80（HWD，mm） 重量：13kg</t>
  </si>
  <si>
    <r>
      <rPr>
        <sz val="11"/>
        <color rgb="FF000000"/>
        <rFont val="宋体"/>
        <charset val="134"/>
        <scheme val="minor"/>
      </rPr>
      <t>RTX 5090 32GB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显存：32GB GDDR7（512bit，1792GB/s）NVIDIA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单口最高：8K@120Hz（DP 2.1b / HDMI 2.1b）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多口带载：4 屏（3×DP2.1 + 1×HDMI2.1），支持 4×8K@60Hz / 2×8K@120Hz，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功耗：575W</t>
    </r>
  </si>
  <si>
    <t>20000+</t>
  </si>
  <si>
    <t>55寸-0.88mm型一、产品规格：尺寸1214×685×80（HWD，mm） 重量：13kg</t>
  </si>
  <si>
    <r>
      <rPr>
        <sz val="11"/>
        <color rgb="FF000000"/>
        <rFont val="宋体"/>
        <charset val="134"/>
        <scheme val="minor"/>
      </rPr>
      <t xml:space="preserve">NVIDIA H100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显存：80GB HBM3（3.35TB/s 带宽，ECC）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AI 算力：FP16≈989 TFLOPS，FP8≈2000 TFLOPS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适用：175B + 超大模型预训练、超算级 AI 任务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功耗：700W（SXM5 版）/400W（PCIe 版）</t>
    </r>
  </si>
  <si>
    <t>300000+</t>
  </si>
  <si>
    <r>
      <rPr>
        <sz val="10"/>
        <color rgb="FF000000"/>
        <rFont val="宋体"/>
        <charset val="134"/>
        <scheme val="minor"/>
      </rPr>
      <t>15.7圆形屏规格：对角线长度 39.88 厘米，分辨率为 960×960（PPI= 86.5），亮度 700cd/m²，对比度 1000:1；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</si>
  <si>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23.6圆形屏规格：对角线长度 600厘米，分辨率为 1280×1280（PPI= 115.3），亮度 700cd/m²，对比度 1000:1；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</si>
  <si>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OLED技术：尺寸1221.5×699.35mm；，画面比例16:9；亮度150/400nit（APL 100%/25%）；透光率38%；色域108%；水平垂直可视角度178°×178°；色深10bit(R)，10.7亿色；响应时间1ms(G to G)，8ms(MPRT)；刷新率120Hz；</t>
    </r>
    <r>
      <rPr>
        <sz val="10"/>
        <color rgb="FF000000"/>
        <rFont val="宋体"/>
        <charset val="134"/>
        <scheme val="minor"/>
      </rPr>
      <t xml:space="preserve">
</t>
    </r>
  </si>
  <si>
    <t>使用前请仔细阅读操作流程</t>
  </si>
  <si>
    <r>
      <rPr>
        <sz val="20"/>
        <color rgb="FFFF0000"/>
        <rFont val="宋体"/>
        <charset val="134"/>
        <scheme val="minor"/>
      </rPr>
      <t>1、使用前请手动完善好数据库(</t>
    </r>
    <r>
      <rPr>
        <sz val="20"/>
        <color rgb="FF00B050"/>
        <rFont val="宋体"/>
        <charset val="134"/>
        <scheme val="minor"/>
      </rPr>
      <t>注意不能改变第一行黄色底文字内容顺序</t>
    </r>
    <r>
      <rPr>
        <sz val="20"/>
        <color rgb="FFFF0000"/>
        <rFont val="宋体"/>
        <charset val="134"/>
        <scheme val="minor"/>
      </rPr>
      <t>)，维护好销售价格。</t>
    </r>
  </si>
  <si>
    <r>
      <rPr>
        <sz val="20"/>
        <color rgb="FFFF0000"/>
        <rFont val="宋体"/>
        <charset val="134"/>
        <scheme val="minor"/>
      </rPr>
      <t>2、表格设定自动计算公式，填写</t>
    </r>
    <r>
      <rPr>
        <b/>
        <sz val="20"/>
        <color rgb="FF00B0F0"/>
        <rFont val="宋体"/>
        <charset val="134"/>
        <scheme val="minor"/>
      </rPr>
      <t>型号</t>
    </r>
    <r>
      <rPr>
        <sz val="20"/>
        <color rgb="FFFF0000"/>
        <rFont val="宋体"/>
        <charset val="134"/>
        <scheme val="minor"/>
      </rPr>
      <t>和</t>
    </r>
    <r>
      <rPr>
        <b/>
        <sz val="20"/>
        <color rgb="FF00B0F0"/>
        <rFont val="宋体"/>
        <charset val="134"/>
        <scheme val="minor"/>
      </rPr>
      <t>数量</t>
    </r>
    <r>
      <rPr>
        <sz val="20"/>
        <color rgb="FFFF0000"/>
        <rFont val="宋体"/>
        <charset val="134"/>
        <scheme val="minor"/>
      </rPr>
      <t>即可自动计算结果。（</t>
    </r>
    <r>
      <rPr>
        <sz val="20"/>
        <color rgb="FF00B0F0"/>
        <rFont val="宋体"/>
        <charset val="134"/>
        <scheme val="minor"/>
      </rPr>
      <t>数据库需要有对应的产品数据才能查询到价格</t>
    </r>
    <r>
      <rPr>
        <sz val="20"/>
        <color rgb="FFFF0000"/>
        <rFont val="宋体"/>
        <charset val="134"/>
        <scheme val="minor"/>
      </rPr>
      <t>）</t>
    </r>
  </si>
  <si>
    <t>3、利润和平台服务费可以自行修改比率。按实际填写。</t>
  </si>
  <si>
    <t>4、使用时修改以下位置即可计算价格，办公软件推荐wps。</t>
  </si>
  <si>
    <t>5、为了防止误删公式，已经设置公式保护，解锁密码为123</t>
  </si>
  <si>
    <t>设备类型</t>
  </si>
  <si>
    <t>型号</t>
  </si>
  <si>
    <t>核心参数</t>
  </si>
  <si>
    <t>单台价位（元）</t>
  </si>
  <si>
    <t>展项，带机量≤10</t>
  </si>
  <si>
    <t>无线路由</t>
  </si>
  <si>
    <t>AR180pro</t>
  </si>
  <si>
    <t>无线：Wi-Fi 7，双频并发 3600Mbps
端口：2×2.5GE，4×GE，支持多 WAN
带机量：150 台
天线：4 根外置高增益天线
功耗：13.5W
功能：VPN、上网行为管理、Mesh</t>
  </si>
  <si>
    <t>路由交换一体机</t>
  </si>
  <si>
    <t>华为S380-S8P2T</t>
  </si>
  <si>
    <r>
      <rPr>
        <sz val="10"/>
        <color rgb="FF333333"/>
        <rFont val="微软雅黑"/>
        <charset val="134"/>
      </rPr>
      <t>端口：2×GE WAN + 8×GE LAN（全口 PoE+，124W）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性能：带机 10+ 台、管理 8AP（免费）、交换 16Gbps、包转发 500/420Kpps、出口 2Gbps</t>
    </r>
  </si>
  <si>
    <t>AP</t>
  </si>
  <si>
    <t>AirEngine5761-11</t>
  </si>
  <si>
    <r>
      <rPr>
        <sz val="10"/>
        <color rgb="FF333333"/>
        <rFont val="微软雅黑"/>
        <charset val="134"/>
      </rPr>
      <t>端口：1×GE电口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性能：Wi-Fi6双频，2.4GHz+5GHz，空口速率1.775Gbps，推荐并发用户36人、无缝漫游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供电：支持802.3at/af PoE供电、DC12V电源输入，最大功耗14.2W</t>
    </r>
  </si>
  <si>
    <t>8口交换机</t>
  </si>
  <si>
    <t>S110-8T</t>
  </si>
  <si>
    <r>
      <rPr>
        <sz val="10"/>
        <color rgb="FF333333"/>
        <rFont val="微软雅黑"/>
        <charset val="134"/>
      </rPr>
      <t>端口：8×GE 电口，无上行口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性能：交换 16Gbps、包转发 11.9Mpps、MAC 2K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供电：DC12V，功耗≈7W</t>
    </r>
  </si>
  <si>
    <t>8口交换机（网管）</t>
  </si>
  <si>
    <t>S210-8T</t>
  </si>
  <si>
    <r>
      <rPr>
        <sz val="10"/>
        <color rgb="FF333333"/>
        <rFont val="微软雅黑"/>
        <charset val="134"/>
      </rPr>
      <t>端口：8×GE 电口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性能：交换 16Gbps、包转发 12Mpps、MAC 2K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管理：Web/APP/SSH，VLAN / 端口隔离 / QoS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定位：轻网管接入</t>
    </r>
  </si>
  <si>
    <t>24口交换机</t>
  </si>
  <si>
    <t>S110-24TR</t>
  </si>
  <si>
    <r>
      <rPr>
        <sz val="10"/>
        <color rgb="FF333333"/>
        <rFont val="微软雅黑"/>
        <charset val="134"/>
      </rPr>
      <t>端口：24×GE 电口，机架式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性能：交换 48Gbps、包转发 35.7Mpps、MAC 8K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供电：AC 100–240V，无 PoE，功耗≈8W</t>
    </r>
  </si>
  <si>
    <t>24口POE交换机</t>
  </si>
  <si>
    <t>S1730S-L24PR-A</t>
  </si>
  <si>
    <r>
      <rPr>
        <sz val="10"/>
        <color rgb="FF333333"/>
        <rFont val="微软雅黑"/>
        <charset val="134"/>
      </rPr>
      <t>端口：24×GE（PoE+），机架式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性能：交换 48Gbps、包转发 35.7Mpps、MAC 8K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PoE：总功率 191W（802.3af/at）</t>
    </r>
  </si>
  <si>
    <t>24口POE交换机（网管）</t>
  </si>
  <si>
    <t>S5735S-L24P4S-A2</t>
  </si>
  <si>
    <r>
      <rPr>
        <sz val="10"/>
        <color rgb="FF333333"/>
        <rFont val="微软雅黑"/>
        <charset val="134"/>
      </rPr>
      <t>端口：24×GE（PoE+）+4×GE SFP 上行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性能：交换 48Gbps、包转发 36Mpps、MAC 8K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PoE：总功率 370W（满供 24 口 af/16 口 at）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管理：Web/APP/ 云管理，三层基础功能</t>
    </r>
  </si>
  <si>
    <t>展厅，带机量≤50</t>
  </si>
  <si>
    <t>核心交换机-24口电口</t>
  </si>
  <si>
    <t>华为S5735S-L24T4S-A</t>
  </si>
  <si>
    <t>24个千兆电口，4个千兆SFP上行口，交换容量336Gbps，包转发率42Mpps，二层网管</t>
  </si>
  <si>
    <t>核心交换机-24口光口</t>
  </si>
  <si>
    <t>华为S5735S-L24S4S-A</t>
  </si>
  <si>
    <t>24个千兆光口，4个千兆SFP上行口，交换容量336Gbps，包转发率42Mpps，二层网管</t>
  </si>
  <si>
    <t>核心交换机-48口光口</t>
  </si>
  <si>
    <t>华为S5735S-L48S4S-A</t>
  </si>
  <si>
    <t>48个千兆光口，4个千兆SFP上行口，交换容量336Gbps，包转发率42Mpps，二层网管</t>
  </si>
  <si>
    <t>华为S1730S-L24P4S-A</t>
  </si>
  <si>
    <t>24个千兆POE电口，4个千兆SFP上行口，POE总功率180W，即插即用，二层非网管，适合超小型办公场景</t>
  </si>
  <si>
    <t>华为S1730S-S24P4S-A1</t>
  </si>
  <si>
    <t>24个千兆POE+电口，4个千兆SFP上行口，POE总功率380W，即插即用，二层网管</t>
  </si>
  <si>
    <t>24口常规交换机</t>
  </si>
  <si>
    <t>华为S1730S-S24T4S-A1</t>
  </si>
  <si>
    <t>24个千兆电口，4个千兆SFP上行口，交换容量336Gbps，包转发率42Mpps，即插即用</t>
  </si>
  <si>
    <t>48口常规交换机</t>
  </si>
  <si>
    <t>华为S1730S-S48T4S-A1</t>
  </si>
  <si>
    <t>48个千兆电口，4个千兆SFP上行口，交换容量336Gbps，包转发率42Mpps，即插即用</t>
  </si>
  <si>
    <t>AC控制器</t>
  </si>
  <si>
    <t>9700S-S</t>
  </si>
  <si>
    <r>
      <rPr>
        <sz val="10"/>
        <color rgb="FF333333"/>
        <rFont val="微软雅黑"/>
        <charset val="134"/>
      </rPr>
      <t>端口：10×GE 电口 + 2×10GE SFP + 光口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性能：最大可管理 128 个 AP，转发能力 10Gbps，支持 10Gbps 数据转发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功能：集成千兆交换机功能，支持无线漫游、安全认证、本地 / 隧道转发双模式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供电：AC/DC 电源适配器，功耗 21W</t>
    </r>
  </si>
  <si>
    <t>AC6508</t>
  </si>
  <si>
    <r>
      <rPr>
        <sz val="10"/>
        <color rgb="FF333333"/>
        <rFont val="微软雅黑"/>
        <charset val="134"/>
      </rPr>
      <t>端口：10×GE 电口 + 2×10GE SFP + 光口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性能：最大可管理 512 个 AP，支持 4096 个并发无线用户，转发能力 10Gbps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功能：支持直接 / 隧道转发模式，基于用户 / 角色的权限控制，丰富的运维管理方式</t>
    </r>
    <r>
      <rPr>
        <sz val="10"/>
        <color rgb="FF333333"/>
        <rFont val="微软雅黑"/>
        <charset val="134"/>
      </rPr>
      <t xml:space="preserve">
</t>
    </r>
    <r>
      <rPr>
        <sz val="10"/>
        <color rgb="FF333333"/>
        <rFont val="微软雅黑"/>
        <charset val="134"/>
      </rPr>
      <t>供电：AC/DC 电源适配器，功耗 25.06W</t>
    </r>
  </si>
  <si>
    <t>授权</t>
  </si>
  <si>
    <t>L-ACSSAP-16AP</t>
  </si>
  <si>
    <t>L-ACSSAP-32AP</t>
  </si>
  <si>
    <t>L-ACSSAP-64AP</t>
  </si>
  <si>
    <t>L-ACSSAP-128AP</t>
  </si>
  <si>
    <t>无线AP</t>
  </si>
  <si>
    <t>AirEngine5762S-22</t>
  </si>
  <si>
    <t>WiFi6双频5400M，吸顶式，推荐带机量50+，覆盖半径30m，支持PoE+供电，智能天线，无缝漫游</t>
  </si>
  <si>
    <t>无线AP-高密</t>
  </si>
  <si>
    <t>AirEngine6776-58TI</t>
  </si>
  <si>
    <t>Wi-Fi 7 三频 12.2G，吸顶式，推荐带机量 200+，覆盖半径 25m，支持 PoE++ 供电，高密场景优化，智能天线，无缝漫游</t>
  </si>
  <si>
    <t>千兆单模</t>
  </si>
  <si>
    <t>FP-GE-LX</t>
  </si>
  <si>
    <t>1310nm,10km,LC</t>
  </si>
  <si>
    <t>万兆单模</t>
  </si>
  <si>
    <t>SFP+-10G</t>
  </si>
  <si>
    <t>千兆电口</t>
  </si>
  <si>
    <t>SFP-1000BaseT</t>
  </si>
  <si>
    <t>100m,RJ45</t>
  </si>
  <si>
    <t>200设备（展馆，带机量≤200）</t>
  </si>
  <si>
    <t>路由器</t>
  </si>
  <si>
    <t>AR611E-S</t>
  </si>
  <si>
    <t>多WAN口设计，带机量200，内置AC管理功能，支持VPN/防火墙/安全防护</t>
  </si>
  <si>
    <t>华为S5735-H24T4XC</t>
  </si>
  <si>
    <t>24个千兆电口，4个万兆SFP+上行口，交换容量520Gbps，包转发率132Mpps，三层网管</t>
  </si>
  <si>
    <t>华为S5735-H24S4XC</t>
  </si>
  <si>
    <t>24个千兆光口，4个万兆SFP+上行口，交换容量520Gbps，包转发率132Mpps，三层网管</t>
  </si>
  <si>
    <t>华为S5735-H48S4XC</t>
  </si>
  <si>
    <t>48个千兆光口，4个万兆SFP+上行口，交换容量520Gbps，包转发率132Mpps，三层网管</t>
  </si>
  <si>
    <t>华为S5735-L24P4XE-A-V2</t>
  </si>
  <si>
    <t>24个千兆POE+电口，4个万兆SFP+上行口，POE总功率370W，三层网管，支持VLAN/PoE+</t>
  </si>
  <si>
    <t>华为S5735-L24T4XE-A-V2</t>
  </si>
  <si>
    <t>48口交换机</t>
  </si>
  <si>
    <t>华为S5735-L48T4XE-A-V2</t>
  </si>
  <si>
    <t>48个千兆电口，4个万兆SFP+上行口，交换容量520Gbps，包转发率207Mpps，三层网管</t>
  </si>
  <si>
    <t>园区，带机量≤800；堆叠</t>
  </si>
  <si>
    <t>华为AR6140-S</t>
  </si>
  <si>
    <t>5个GE RJ45口+4个GE SFP口，带机量1200，支持多WAN/SD-WAN/防火墙/VPN</t>
  </si>
  <si>
    <t>华为S5732-H24UM2CC</t>
  </si>
  <si>
    <t>24个2.5G电口（可升级至10G），4个25GE SFP28+2个40GE QSFP+上行口，交换容量2.4Tbps，包转发率960Mpps，三层核心</t>
  </si>
  <si>
    <t>华为S6730-H24X6C</t>
  </si>
  <si>
    <t>24个10GE万兆光口，6个40/100GE光口，交换容量2.4Tbps，包转发率720Mpps，三层万兆核心</t>
  </si>
  <si>
    <t>华为S6730-H48X6C</t>
  </si>
  <si>
    <t>48个10GE万兆光口，6个40/100GE光口，交换容量2.4Tbps，包转发率720Mpps，三层万兆核心</t>
  </si>
  <si>
    <t>华为S5736-S24P4XC</t>
  </si>
  <si>
    <t>24个千兆POE+电口，4个万兆SFP+上行口，POE总功率720W，三层网管，支持VLAN/PoE++/堆叠</t>
  </si>
  <si>
    <t>华为S5736-S24T4XC</t>
  </si>
  <si>
    <t>24个千兆电口，4个万兆SFP+上行口，交换容量520Gbps，包转发率132Mpps，三层网管，支持堆叠</t>
  </si>
  <si>
    <t>华为S5736-S48T4XC</t>
  </si>
  <si>
    <t>48个千兆电口，4个万兆SFP+上行口，交换容量520Gbps，包转发率207Mpps，三层网管，支持堆叠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</si>
</sst>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50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003366"/>
      <name val="微软雅黑"/>
      <charset val="134"/>
    </font>
    <font>
      <sz val="10"/>
      <color rgb="FF333333"/>
      <name val="微软雅黑"/>
      <charset val="134"/>
    </font>
    <font>
      <sz val="2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FF0000"/>
      <name val="仿宋"/>
      <charset val="134"/>
    </font>
    <font>
      <b/>
      <sz val="10"/>
      <name val="仿宋"/>
      <charset val="134"/>
    </font>
    <font>
      <b/>
      <sz val="10"/>
      <color rgb="FF000000"/>
      <name val="仿宋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b/>
      <sz val="14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8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8"/>
      <color rgb="FF000000"/>
      <name val="宋体"/>
      <charset val="134"/>
    </font>
    <font>
      <b/>
      <sz val="6"/>
      <color theme="1"/>
      <name val="宋体"/>
      <charset val="134"/>
      <scheme val="major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8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00B0F0"/>
      <name val="宋体"/>
      <charset val="134"/>
      <scheme val="minor"/>
    </font>
    <font>
      <sz val="20"/>
      <color rgb="FF00B0F0"/>
      <name val="宋体"/>
      <charset val="134"/>
      <scheme val="minor"/>
    </font>
    <font>
      <sz val="20"/>
      <color rgb="FF00B050"/>
      <name val="宋体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theme="4" tint="0.799829096346934"/>
      </patternFill>
    </fill>
    <fill>
      <patternFill patternType="solid">
        <fgColor theme="4" tint="0.799829096346934"/>
        <bgColor theme="4" tint="0.799829096346934"/>
      </patternFill>
    </fill>
    <fill>
      <patternFill patternType="solid">
        <fgColor rgb="FFFF0000"/>
        <bgColor theme="4" tint="0.79982909634693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4" borderId="1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5" borderId="20" applyNumberFormat="0" applyAlignment="0" applyProtection="0">
      <alignment vertical="center"/>
    </xf>
    <xf numFmtId="0" fontId="37" fillId="16" borderId="21" applyNumberFormat="0" applyAlignment="0" applyProtection="0">
      <alignment vertical="center"/>
    </xf>
    <xf numFmtId="0" fontId="38" fillId="16" borderId="20" applyNumberFormat="0" applyAlignment="0" applyProtection="0">
      <alignment vertical="center"/>
    </xf>
    <xf numFmtId="0" fontId="39" fillId="17" borderId="22" applyNumberFormat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/>
    <xf numFmtId="0" fontId="5" fillId="6" borderId="0" xfId="0" applyFont="1" applyFill="1" applyAlignment="1" applyProtection="1">
      <alignment horizontal="center" wrapText="1"/>
    </xf>
    <xf numFmtId="0" fontId="5" fillId="0" borderId="0" xfId="0" applyFont="1" applyFill="1" applyAlignment="1" applyProtection="1">
      <alignment horizontal="center" wrapText="1"/>
      <protection locked="0"/>
    </xf>
    <xf numFmtId="0" fontId="6" fillId="0" borderId="0" xfId="0" applyFont="1" applyFill="1" applyAlignment="1" applyProtection="1">
      <alignment horizontal="center" wrapText="1"/>
      <protection locked="0"/>
    </xf>
    <xf numFmtId="0" fontId="7" fillId="6" borderId="0" xfId="0" applyFont="1" applyFill="1" applyBorder="1" applyAlignment="1" applyProtection="1">
      <alignment horizontal="center" wrapText="1"/>
    </xf>
    <xf numFmtId="0" fontId="8" fillId="7" borderId="2" xfId="0" applyFont="1" applyFill="1" applyBorder="1" applyAlignment="1" applyProtection="1">
      <alignment horizontal="center" wrapText="1"/>
    </xf>
    <xf numFmtId="0" fontId="8" fillId="6" borderId="0" xfId="0" applyFont="1" applyFill="1" applyBorder="1" applyAlignment="1" applyProtection="1">
      <alignment horizontal="center" wrapText="1"/>
    </xf>
    <xf numFmtId="0" fontId="8" fillId="7" borderId="3" xfId="0" applyFont="1" applyFill="1" applyBorder="1" applyAlignment="1" applyProtection="1">
      <alignment horizontal="center" vertical="center" wrapText="1"/>
    </xf>
    <xf numFmtId="0" fontId="8" fillId="6" borderId="4" xfId="0" applyFont="1" applyFill="1" applyBorder="1" applyAlignment="1" applyProtection="1">
      <alignment horizontal="center" wrapText="1"/>
    </xf>
    <xf numFmtId="0" fontId="8" fillId="7" borderId="5" xfId="0" applyFont="1" applyFill="1" applyBorder="1" applyAlignment="1" applyProtection="1">
      <alignment horizontal="center" vertical="center" wrapText="1"/>
    </xf>
    <xf numFmtId="0" fontId="8" fillId="6" borderId="5" xfId="0" applyFont="1" applyFill="1" applyBorder="1" applyAlignment="1" applyProtection="1">
      <alignment horizontal="center" vertical="center" wrapText="1"/>
    </xf>
    <xf numFmtId="0" fontId="9" fillId="6" borderId="5" xfId="0" applyFont="1" applyFill="1" applyBorder="1" applyAlignment="1" applyProtection="1">
      <alignment horizontal="center" vertical="center" wrapText="1"/>
    </xf>
    <xf numFmtId="0" fontId="9" fillId="7" borderId="5" xfId="0" applyFont="1" applyFill="1" applyBorder="1" applyAlignment="1" applyProtection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7" fontId="11" fillId="0" borderId="8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7" fontId="11" fillId="0" borderId="10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>
      <alignment horizontal="center" vertical="center" wrapText="1"/>
    </xf>
    <xf numFmtId="0" fontId="6" fillId="0" borderId="10" xfId="0" applyFont="1" applyFill="1" applyBorder="1" applyAlignment="1" applyProtection="1">
      <alignment horizontal="center" wrapText="1"/>
      <protection locked="0"/>
    </xf>
    <xf numFmtId="0" fontId="15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Protection="1">
      <protection locked="0"/>
    </xf>
    <xf numFmtId="0" fontId="16" fillId="9" borderId="11" xfId="0" applyFont="1" applyFill="1" applyBorder="1" applyAlignment="1" applyProtection="1">
      <alignment horizontal="center" vertical="center"/>
      <protection locked="0"/>
    </xf>
    <xf numFmtId="0" fontId="16" fillId="9" borderId="12" xfId="0" applyFont="1" applyFill="1" applyBorder="1" applyAlignment="1" applyProtection="1">
      <alignment horizontal="center" vertical="center"/>
      <protection locked="0"/>
    </xf>
    <xf numFmtId="0" fontId="16" fillId="9" borderId="13" xfId="0" applyFont="1" applyFill="1" applyBorder="1" applyAlignment="1" applyProtection="1">
      <alignment horizontal="center" vertical="center"/>
      <protection locked="0"/>
    </xf>
    <xf numFmtId="0" fontId="17" fillId="2" borderId="10" xfId="0" applyFont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 applyProtection="1">
      <alignment horizontal="center" vertical="center"/>
      <protection locked="0"/>
    </xf>
    <xf numFmtId="0" fontId="17" fillId="2" borderId="3" xfId="0" applyFont="1" applyFill="1" applyBorder="1" applyAlignment="1" applyProtection="1">
      <alignment horizontal="center" vertical="center"/>
      <protection locked="0"/>
    </xf>
    <xf numFmtId="0" fontId="17" fillId="10" borderId="10" xfId="0" applyFont="1" applyFill="1" applyBorder="1" applyAlignment="1" applyProtection="1">
      <alignment horizontal="center" vertical="center"/>
      <protection locked="0"/>
    </xf>
    <xf numFmtId="0" fontId="18" fillId="11" borderId="10" xfId="0" applyFont="1" applyFill="1" applyBorder="1" applyAlignment="1" applyProtection="1">
      <alignment horizontal="center" vertical="center" wrapText="1"/>
      <protection locked="0"/>
    </xf>
    <xf numFmtId="0" fontId="19" fillId="11" borderId="10" xfId="0" applyNumberFormat="1" applyFont="1" applyFill="1" applyBorder="1" applyAlignment="1" applyProtection="1">
      <alignment horizontal="center" vertical="center"/>
    </xf>
    <xf numFmtId="0" fontId="19" fillId="11" borderId="10" xfId="0" applyNumberFormat="1" applyFont="1" applyFill="1" applyBorder="1" applyAlignment="1" applyProtection="1">
      <alignment horizontal="center" vertical="center"/>
      <protection locked="0"/>
    </xf>
    <xf numFmtId="0" fontId="19" fillId="11" borderId="14" xfId="0" applyNumberFormat="1" applyFont="1" applyFill="1" applyBorder="1" applyAlignment="1" applyProtection="1">
      <alignment horizontal="center" vertical="center"/>
    </xf>
    <xf numFmtId="0" fontId="19" fillId="11" borderId="3" xfId="0" applyNumberFormat="1" applyFont="1" applyFill="1" applyBorder="1" applyAlignment="1" applyProtection="1">
      <alignment horizontal="center" vertical="center"/>
    </xf>
    <xf numFmtId="0" fontId="19" fillId="11" borderId="10" xfId="0" applyFont="1" applyFill="1" applyBorder="1" applyAlignment="1" applyProtection="1">
      <alignment horizontal="center" vertical="center"/>
      <protection locked="0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19" fillId="0" borderId="3" xfId="0" applyNumberFormat="1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Protection="1">
      <protection locked="0"/>
    </xf>
    <xf numFmtId="0" fontId="20" fillId="2" borderId="10" xfId="0" applyFont="1" applyFill="1" applyBorder="1" applyAlignment="1" applyProtection="1">
      <alignment horizontal="center" vertical="center"/>
      <protection locked="0"/>
    </xf>
    <xf numFmtId="0" fontId="20" fillId="10" borderId="10" xfId="0" applyFont="1" applyFill="1" applyBorder="1" applyAlignment="1" applyProtection="1">
      <alignment horizontal="center" vertical="center"/>
      <protection locked="0"/>
    </xf>
    <xf numFmtId="0" fontId="21" fillId="11" borderId="10" xfId="0" applyFont="1" applyFill="1" applyBorder="1" applyAlignment="1" applyProtection="1">
      <alignment horizontal="center" vertical="center" wrapText="1"/>
      <protection locked="0"/>
    </xf>
    <xf numFmtId="0" fontId="22" fillId="0" borderId="10" xfId="0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 applyProtection="1">
      <alignment horizontal="left" vertical="center"/>
      <protection locked="0"/>
    </xf>
    <xf numFmtId="22" fontId="17" fillId="12" borderId="10" xfId="0" applyNumberFormat="1" applyFont="1" applyFill="1" applyBorder="1" applyAlignment="1" applyProtection="1">
      <alignment horizontal="center" vertical="center"/>
      <protection locked="0"/>
    </xf>
    <xf numFmtId="0" fontId="17" fillId="12" borderId="10" xfId="0" applyFont="1" applyFill="1" applyBorder="1" applyAlignment="1" applyProtection="1">
      <alignment horizontal="center" vertical="center"/>
      <protection locked="0"/>
    </xf>
    <xf numFmtId="0" fontId="24" fillId="13" borderId="15" xfId="0" applyFont="1" applyFill="1" applyBorder="1" applyAlignment="1" applyProtection="1">
      <alignment horizontal="center" vertical="center" wrapText="1"/>
      <protection locked="0"/>
    </xf>
    <xf numFmtId="0" fontId="25" fillId="13" borderId="15" xfId="0" applyFont="1" applyFill="1" applyBorder="1" applyAlignment="1" applyProtection="1">
      <alignment vertical="center" wrapText="1"/>
    </xf>
    <xf numFmtId="0" fontId="26" fillId="6" borderId="14" xfId="0" applyFont="1" applyFill="1" applyBorder="1" applyAlignment="1" applyProtection="1">
      <alignment horizontal="center" vertical="center"/>
      <protection locked="0"/>
    </xf>
    <xf numFmtId="0" fontId="26" fillId="6" borderId="3" xfId="0" applyFont="1" applyFill="1" applyBorder="1" applyAlignment="1" applyProtection="1">
      <alignment horizontal="center" vertical="center"/>
      <protection locked="0"/>
    </xf>
    <xf numFmtId="9" fontId="26" fillId="6" borderId="3" xfId="0" applyNumberFormat="1" applyFont="1" applyFill="1" applyBorder="1" applyAlignment="1" applyProtection="1">
      <alignment horizontal="center" vertical="center"/>
      <protection locked="0"/>
    </xf>
    <xf numFmtId="0" fontId="26" fillId="6" borderId="14" xfId="0" applyNumberFormat="1" applyFont="1" applyFill="1" applyBorder="1" applyAlignment="1" applyProtection="1">
      <alignment horizontal="center" vertical="center"/>
    </xf>
    <xf numFmtId="0" fontId="26" fillId="6" borderId="3" xfId="0" applyNumberFormat="1" applyFont="1" applyFill="1" applyBorder="1" applyAlignment="1" applyProtection="1">
      <alignment horizontal="center" vertical="center"/>
    </xf>
    <xf numFmtId="0" fontId="26" fillId="6" borderId="16" xfId="0" applyFont="1" applyFill="1" applyBorder="1" applyAlignment="1" applyProtection="1">
      <alignment horizontal="center" vertical="center" wrapText="1"/>
      <protection locked="0"/>
    </xf>
    <xf numFmtId="0" fontId="25" fillId="6" borderId="16" xfId="0" applyFont="1" applyFill="1" applyBorder="1" applyAlignment="1" applyProtection="1">
      <alignment horizontal="center" vertical="center" wrapText="1"/>
      <protection locked="0"/>
    </xf>
    <xf numFmtId="0" fontId="26" fillId="6" borderId="9" xfId="0" applyFont="1" applyFill="1" applyBorder="1" applyAlignment="1" applyProtection="1">
      <alignment horizontal="center" vertical="center" wrapText="1"/>
      <protection locked="0"/>
    </xf>
    <xf numFmtId="0" fontId="25" fillId="6" borderId="9" xfId="0" applyFont="1" applyFill="1" applyBorder="1" applyAlignment="1" applyProtection="1">
      <alignment horizontal="center" vertical="center" wrapText="1"/>
      <protection locked="0"/>
    </xf>
    <xf numFmtId="0" fontId="23" fillId="6" borderId="10" xfId="0" applyFont="1" applyFill="1" applyBorder="1" applyAlignment="1" applyProtection="1">
      <alignment horizontal="center" vertical="center"/>
      <protection locked="0"/>
    </xf>
    <xf numFmtId="176" fontId="24" fillId="6" borderId="14" xfId="0" applyNumberFormat="1" applyFont="1" applyFill="1" applyBorder="1" applyAlignment="1" applyProtection="1">
      <alignment horizontal="center" vertical="center"/>
    </xf>
    <xf numFmtId="176" fontId="24" fillId="6" borderId="2" xfId="0" applyNumberFormat="1" applyFont="1" applyFill="1" applyBorder="1" applyAlignment="1" applyProtection="1">
      <alignment horizontal="center" vertical="center"/>
    </xf>
    <xf numFmtId="176" fontId="24" fillId="6" borderId="3" xfId="0" applyNumberFormat="1" applyFont="1" applyFill="1" applyBorder="1" applyAlignment="1" applyProtection="1">
      <alignment horizontal="center" vertical="center"/>
    </xf>
    <xf numFmtId="0" fontId="15" fillId="0" borderId="0" xfId="0" applyFont="1" applyProtection="1">
      <protection locked="0"/>
    </xf>
    <xf numFmtId="0" fontId="27" fillId="0" borderId="0" xfId="6" applyFont="1" applyProtection="1">
      <protection locked="0"/>
    </xf>
    <xf numFmtId="0" fontId="6" fillId="0" borderId="10" xfId="0" applyFont="1" applyFill="1" applyBorder="1" applyAlignment="1" applyProtection="1" quotePrefix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9954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4" dbFileVersion="0" changeLogVersion="0">
    <open main="37" threadCnt="1"/>
    <sheetInfos>
      <sheetInfo cellCmpFml="34" sheetStid="1">
        <open main="1" threadCnt="1"/>
      </sheetInfo>
      <sheetInfo cellCmpFml="0" sheetStid="2">
        <open main="2" threadCnt="1"/>
      </sheetInfo>
      <sheetInfo cellCmpFml="0" sheetStid="3">
        <open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4kwjstdndc4ww.aiforce.cloud/app/app_17dv0xu8t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B2:K35"/>
  <sheetViews>
    <sheetView showGridLines="0" zoomScale="130" zoomScaleNormal="130" workbookViewId="0">
      <selection activeCell="AD2" sqref="AD2:AD11"/>
    </sheetView>
  </sheetViews>
  <sheetFormatPr defaultColWidth="9" defaultRowHeight="13.5"/>
  <cols>
    <col min="1" max="1" width="2.875" style="43" customWidth="1"/>
    <col min="2" max="2" width="12.375" style="43" customWidth="1"/>
    <col min="3" max="3" width="62.8833333333333" style="43" customWidth="1"/>
    <col min="4" max="4" width="8.75" style="43" customWidth="1"/>
    <col min="5" max="5" width="9.625" style="43" customWidth="1"/>
    <col min="6" max="6" width="7.75" style="43" customWidth="1"/>
    <col min="7" max="7" width="5.125" style="43" customWidth="1"/>
    <col min="8" max="8" width="6.35833333333333" style="43" customWidth="1"/>
    <col min="9" max="16384" width="9" style="43"/>
  </cols>
  <sheetData>
    <row r="2" ht="27.95" customHeight="1" spans="2:11">
      <c r="B2" s="44" t="str">
        <f ca="1">"多媒体展项报价"&amp;TEXT(NOW(),"    yyyy年mm月dd日  hh:mm:ss")</f>
        <v>多媒体展项报价    2026年09月10日  18:07:17</v>
      </c>
      <c r="C2" s="45"/>
      <c r="D2" s="45"/>
      <c r="E2" s="45"/>
      <c r="F2" s="45"/>
      <c r="G2" s="45"/>
      <c r="H2" s="46"/>
    </row>
    <row r="3" ht="18.95" customHeight="1" spans="2:11">
      <c r="B3" s="47" t="s">
        <v>0</v>
      </c>
      <c r="C3" s="47" t="s">
        <v>1</v>
      </c>
      <c r="D3" s="47" t="s">
        <v>2</v>
      </c>
      <c r="E3" s="47" t="s">
        <v>3</v>
      </c>
      <c r="F3" s="48" t="s">
        <v>4</v>
      </c>
      <c r="G3" s="49"/>
      <c r="H3" s="47" t="s">
        <v>5</v>
      </c>
    </row>
    <row r="4" ht="94.5" spans="2:11">
      <c r="B4" s="50" t="s">
        <v>6</v>
      </c>
      <c r="C4" s="51" t="s">
        <v>7</v>
      </c>
      <c r="D4" s="52">
        <f>IFERROR(VLOOKUP(C4,'数据库（价格维护）'!A:ZV,2,0),0)</f>
        <v>800</v>
      </c>
      <c r="E4" s="53">
        <v>1</v>
      </c>
      <c r="F4" s="54">
        <f t="shared" ref="F4:F9" si="0">D4*E4</f>
        <v>800</v>
      </c>
      <c r="G4" s="55"/>
      <c r="H4" s="56"/>
    </row>
    <row r="5" spans="2:11">
      <c r="B5" s="47" t="s">
        <v>8</v>
      </c>
      <c r="C5" s="51"/>
      <c r="D5" s="57">
        <f>IFERROR(VLOOKUP(C5,'数据库（价格维护）'!C:ZV,2,0),0)</f>
        <v>0</v>
      </c>
      <c r="E5" s="58">
        <v>1</v>
      </c>
      <c r="F5" s="59">
        <f t="shared" si="0"/>
        <v>0</v>
      </c>
      <c r="G5" s="60"/>
      <c r="H5" s="61"/>
    </row>
    <row r="6" spans="2:11">
      <c r="B6" s="50" t="s">
        <v>9</v>
      </c>
      <c r="C6" s="51"/>
      <c r="D6" s="52">
        <f>IFERROR(VLOOKUP(C6,'数据库（价格维护）'!E:ZV,2,0),0)</f>
        <v>0</v>
      </c>
      <c r="E6" s="53">
        <v>1</v>
      </c>
      <c r="F6" s="54">
        <f t="shared" si="0"/>
        <v>0</v>
      </c>
      <c r="G6" s="55"/>
      <c r="H6" s="56"/>
      <c r="J6" s="62"/>
      <c r="K6" s="62"/>
    </row>
    <row r="7" spans="2:11">
      <c r="B7" s="47" t="s">
        <v>10</v>
      </c>
      <c r="C7" s="51"/>
      <c r="D7" s="57">
        <f>IFERROR(VLOOKUP(C7,'数据库（价格维护）'!G:ZV,2,0),0)</f>
        <v>0</v>
      </c>
      <c r="E7" s="58">
        <v>1</v>
      </c>
      <c r="F7" s="59">
        <f t="shared" si="0"/>
        <v>0</v>
      </c>
      <c r="G7" s="60"/>
      <c r="H7" s="61"/>
      <c r="J7" s="62"/>
      <c r="K7" s="62"/>
    </row>
    <row r="8" spans="2:11">
      <c r="B8" s="50" t="s">
        <v>11</v>
      </c>
      <c r="C8" s="51"/>
      <c r="D8" s="52">
        <f>IFERROR(VLOOKUP(C8,'数据库（价格维护）'!I:ZV,2,0),0)</f>
        <v>0</v>
      </c>
      <c r="E8" s="53">
        <v>1</v>
      </c>
      <c r="F8" s="54">
        <f t="shared" si="0"/>
        <v>0</v>
      </c>
      <c r="G8" s="55"/>
      <c r="H8" s="56"/>
      <c r="J8" s="62"/>
      <c r="K8" s="62"/>
    </row>
    <row r="9" spans="2:11">
      <c r="B9" s="63" t="s">
        <v>12</v>
      </c>
      <c r="C9" s="51"/>
      <c r="D9" s="57">
        <f>IFERROR(VLOOKUP(C9,'数据库（价格维护）'!K:ZV,2,0),0)</f>
        <v>0</v>
      </c>
      <c r="E9" s="58">
        <v>1</v>
      </c>
      <c r="F9" s="59">
        <f t="shared" si="0"/>
        <v>0</v>
      </c>
      <c r="G9" s="60"/>
      <c r="H9" s="61"/>
      <c r="J9" s="62"/>
      <c r="K9" s="62"/>
    </row>
    <row r="10" spans="2:11">
      <c r="B10" s="50" t="s">
        <v>13</v>
      </c>
      <c r="C10" s="51"/>
      <c r="D10" s="52">
        <f>IFERROR(VLOOKUP(C10,'数据库（价格维护）'!M:ZV,2,0),0)</f>
        <v>0</v>
      </c>
      <c r="E10" s="53">
        <v>1</v>
      </c>
      <c r="F10" s="54">
        <f t="shared" ref="F10:F17" si="1">D10*E10</f>
        <v>0</v>
      </c>
      <c r="G10" s="55"/>
      <c r="H10" s="56"/>
    </row>
    <row r="11" spans="2:11">
      <c r="B11" s="47" t="s">
        <v>14</v>
      </c>
      <c r="C11" s="51"/>
      <c r="D11" s="57">
        <f>IFERROR(VLOOKUP(C11,'数据库（价格维护）'!O:ZV,2,0),0)</f>
        <v>0</v>
      </c>
      <c r="E11" s="58">
        <v>1</v>
      </c>
      <c r="F11" s="59">
        <f t="shared" si="1"/>
        <v>0</v>
      </c>
      <c r="G11" s="60"/>
      <c r="H11" s="61"/>
    </row>
    <row r="12" spans="2:11">
      <c r="B12" s="50" t="s">
        <v>15</v>
      </c>
      <c r="C12" s="51"/>
      <c r="D12" s="52">
        <f>IFERROR(VLOOKUP(C12,'数据库（价格维护）'!Q:ZV,2,0),0)</f>
        <v>0</v>
      </c>
      <c r="E12" s="53">
        <v>1</v>
      </c>
      <c r="F12" s="54">
        <f t="shared" si="1"/>
        <v>0</v>
      </c>
      <c r="G12" s="55"/>
      <c r="H12" s="56"/>
    </row>
    <row r="13" spans="2:11">
      <c r="B13" s="50" t="s">
        <v>16</v>
      </c>
      <c r="C13" s="51"/>
      <c r="D13" s="52">
        <f>IFERROR(VLOOKUP(C13,'数据库（价格维护）'!S:ZV,2,0),0)</f>
        <v>0</v>
      </c>
      <c r="E13" s="53">
        <v>1</v>
      </c>
      <c r="F13" s="54">
        <f t="shared" ref="F13:F34" si="2">D13*E13</f>
        <v>0</v>
      </c>
      <c r="G13" s="55"/>
      <c r="H13" s="56"/>
    </row>
    <row r="14" spans="2:11">
      <c r="B14" s="50">
        <v>1</v>
      </c>
      <c r="C14" s="51"/>
      <c r="D14" s="57">
        <f>IFERROR(VLOOKUP(C14,'数据库（价格维护）'!U:ZV,2,0),0)</f>
        <v>0</v>
      </c>
      <c r="E14" s="58">
        <v>1</v>
      </c>
      <c r="F14" s="59">
        <f t="shared" si="2"/>
        <v>0</v>
      </c>
      <c r="G14" s="60"/>
      <c r="H14" s="61"/>
    </row>
    <row r="15" spans="2:11">
      <c r="B15" s="50">
        <v>2</v>
      </c>
      <c r="C15" s="51"/>
      <c r="D15" s="52">
        <f>IFERROR(VLOOKUP(C15,'数据库（价格维护）'!W:ZV,2,0),0)</f>
        <v>0</v>
      </c>
      <c r="E15" s="53">
        <v>1</v>
      </c>
      <c r="F15" s="54">
        <f t="shared" si="2"/>
        <v>0</v>
      </c>
      <c r="G15" s="55"/>
      <c r="H15" s="56"/>
    </row>
    <row r="16" spans="2:11">
      <c r="B16" s="50">
        <v>3</v>
      </c>
      <c r="C16" s="51"/>
      <c r="D16" s="57">
        <f>IFERROR(VLOOKUP(C16,'数据库（价格维护）'!Y:ZV,2,0),0)</f>
        <v>0</v>
      </c>
      <c r="E16" s="58">
        <v>1</v>
      </c>
      <c r="F16" s="59">
        <f t="shared" si="2"/>
        <v>0</v>
      </c>
      <c r="G16" s="60"/>
      <c r="H16" s="61"/>
    </row>
    <row r="17" spans="2:8">
      <c r="B17" s="64">
        <v>4</v>
      </c>
      <c r="C17" s="51"/>
      <c r="D17" s="52">
        <f>IFERROR(VLOOKUP(C17,'数据库（价格维护）'!AA:ZV,2,0),0)</f>
        <v>0</v>
      </c>
      <c r="E17" s="53">
        <v>1</v>
      </c>
      <c r="F17" s="54">
        <f t="shared" si="2"/>
        <v>0</v>
      </c>
      <c r="G17" s="55"/>
      <c r="H17" s="56"/>
    </row>
    <row r="18" ht="42" spans="2:8">
      <c r="B18" s="64" t="s">
        <v>17</v>
      </c>
      <c r="C18" s="65" t="s">
        <v>18</v>
      </c>
      <c r="D18" s="57">
        <f>IFERROR(VLOOKUP(C18,'数据库（价格维护）'!AC:ZV,2,0),0)</f>
        <v>0</v>
      </c>
      <c r="E18" s="58">
        <v>1</v>
      </c>
      <c r="F18" s="59">
        <f t="shared" si="2"/>
        <v>0</v>
      </c>
      <c r="G18" s="60"/>
      <c r="H18" s="61"/>
    </row>
    <row r="19" hidden="1" spans="2:8">
      <c r="B19" s="50">
        <v>6</v>
      </c>
      <c r="C19" s="51"/>
      <c r="D19" s="52">
        <f>IFERROR(VLOOKUP(C19,'数据库（价格维护）'!AE:ZV,2,0),0)</f>
        <v>0</v>
      </c>
      <c r="E19" s="53">
        <v>1</v>
      </c>
      <c r="F19" s="54">
        <f t="shared" si="2"/>
        <v>0</v>
      </c>
      <c r="G19" s="55"/>
      <c r="H19" s="56"/>
    </row>
    <row r="20" hidden="1" spans="2:8">
      <c r="B20" s="50">
        <v>7</v>
      </c>
      <c r="C20" s="51"/>
      <c r="D20" s="57">
        <f>IFERROR(VLOOKUP(C20,'数据库（价格维护）'!AG:ZV,2,0),0)</f>
        <v>0</v>
      </c>
      <c r="E20" s="58">
        <v>1</v>
      </c>
      <c r="F20" s="59">
        <f t="shared" si="2"/>
        <v>0</v>
      </c>
      <c r="G20" s="60"/>
      <c r="H20" s="61"/>
    </row>
    <row r="21" hidden="1" spans="2:8">
      <c r="B21" s="50">
        <v>8</v>
      </c>
      <c r="C21" s="51"/>
      <c r="D21" s="52">
        <f>IFERROR(VLOOKUP(C21,'数据库（价格维护）'!AI:ZV,2,0),0)</f>
        <v>0</v>
      </c>
      <c r="E21" s="53">
        <v>1</v>
      </c>
      <c r="F21" s="54">
        <f t="shared" si="2"/>
        <v>0</v>
      </c>
      <c r="G21" s="55"/>
      <c r="H21" s="56"/>
    </row>
    <row r="22" hidden="1" spans="2:8">
      <c r="B22" s="50">
        <v>9</v>
      </c>
      <c r="C22" s="51"/>
      <c r="D22" s="57">
        <f>IFERROR(VLOOKUP(C22,'数据库（价格维护）'!AK:ZV,2,0),0)</f>
        <v>0</v>
      </c>
      <c r="E22" s="58">
        <v>1</v>
      </c>
      <c r="F22" s="59">
        <f t="shared" si="2"/>
        <v>0</v>
      </c>
      <c r="G22" s="60"/>
      <c r="H22" s="61"/>
    </row>
    <row r="23" hidden="1" spans="2:8">
      <c r="B23" s="50">
        <v>10</v>
      </c>
      <c r="C23" s="51"/>
      <c r="D23" s="52">
        <f>IFERROR(VLOOKUP(C23,'数据库（价格维护）'!AM:ZV,2,0),0)</f>
        <v>0</v>
      </c>
      <c r="E23" s="53">
        <v>1</v>
      </c>
      <c r="F23" s="54">
        <f t="shared" si="2"/>
        <v>0</v>
      </c>
      <c r="G23" s="55"/>
      <c r="H23" s="56"/>
    </row>
    <row r="24" hidden="1" spans="2:8">
      <c r="B24" s="50">
        <v>11</v>
      </c>
      <c r="C24" s="51"/>
      <c r="D24" s="57">
        <f>IFERROR(VLOOKUP(C24,'数据库（价格维护）'!AO:ZV,2,0),0)</f>
        <v>0</v>
      </c>
      <c r="E24" s="53">
        <v>1</v>
      </c>
      <c r="F24" s="54">
        <f t="shared" si="2"/>
        <v>0</v>
      </c>
      <c r="G24" s="55"/>
      <c r="H24" s="56"/>
    </row>
    <row r="25" hidden="1" spans="2:8">
      <c r="B25" s="50">
        <v>12</v>
      </c>
      <c r="C25" s="51"/>
      <c r="D25" s="52">
        <f>IFERROR(VLOOKUP(C25,'数据库（价格维护）'!AQ:ZV,2,0),0)</f>
        <v>0</v>
      </c>
      <c r="E25" s="58">
        <v>1</v>
      </c>
      <c r="F25" s="59">
        <f t="shared" si="2"/>
        <v>0</v>
      </c>
      <c r="G25" s="60"/>
      <c r="H25" s="61"/>
    </row>
    <row r="26" hidden="1" spans="2:8">
      <c r="B26" s="50">
        <v>13</v>
      </c>
      <c r="C26" s="51"/>
      <c r="D26" s="52">
        <f>IFERROR(VLOOKUP(C26,'数据库（价格维护）'!AS:ZV,2,0),0)</f>
        <v>0</v>
      </c>
      <c r="E26" s="53">
        <v>1</v>
      </c>
      <c r="F26" s="54">
        <f t="shared" si="2"/>
        <v>0</v>
      </c>
      <c r="G26" s="55"/>
      <c r="H26" s="56"/>
    </row>
    <row r="27" hidden="1" spans="2:8">
      <c r="B27" s="50">
        <v>14</v>
      </c>
      <c r="C27" s="51"/>
      <c r="D27" s="57">
        <f>IFERROR(VLOOKUP(C27,'数据库（价格维护）'!AU:ZV,2,0),0)</f>
        <v>0</v>
      </c>
      <c r="E27" s="58">
        <v>1</v>
      </c>
      <c r="F27" s="59">
        <f t="shared" si="2"/>
        <v>0</v>
      </c>
      <c r="G27" s="60"/>
      <c r="H27" s="61"/>
    </row>
    <row r="28" hidden="1" spans="2:8">
      <c r="B28" s="50">
        <v>15</v>
      </c>
      <c r="C28" s="51"/>
      <c r="D28" s="52">
        <f>IFERROR(VLOOKUP(C28,'数据库（价格维护）'!AW:ZV,2,0),0)</f>
        <v>0</v>
      </c>
      <c r="E28" s="53">
        <v>1</v>
      </c>
      <c r="F28" s="54">
        <f t="shared" si="2"/>
        <v>0</v>
      </c>
      <c r="G28" s="55"/>
      <c r="H28" s="56"/>
    </row>
    <row r="29" spans="2:8">
      <c r="B29" s="47" t="s">
        <v>19</v>
      </c>
      <c r="C29" s="66"/>
      <c r="D29" s="58">
        <v>0</v>
      </c>
      <c r="E29" s="58">
        <v>1</v>
      </c>
      <c r="F29" s="59">
        <f t="shared" si="2"/>
        <v>0</v>
      </c>
      <c r="G29" s="60"/>
      <c r="H29" s="61"/>
    </row>
    <row r="30" ht="26.1" customHeight="1" spans="2:8">
      <c r="B30" s="47" t="s">
        <v>5</v>
      </c>
      <c r="C30" s="67"/>
      <c r="D30" s="67"/>
      <c r="E30" s="67"/>
      <c r="F30" s="67"/>
      <c r="G30" s="67"/>
      <c r="H30" s="67"/>
    </row>
    <row r="31" ht="26.1" customHeight="1" spans="2:8">
      <c r="B31" s="68" t="s">
        <v>20</v>
      </c>
      <c r="C31" s="69"/>
      <c r="D31" s="69"/>
      <c r="E31" s="69"/>
      <c r="F31" s="69"/>
      <c r="G31" s="69"/>
      <c r="H31" s="69"/>
    </row>
    <row r="32" ht="35" customHeight="1" spans="2:8">
      <c r="B32" s="70" t="s">
        <v>21</v>
      </c>
      <c r="C32" s="71" t="str">
        <f>_xlfn.TEXTJOIN("",TRUE,C4:C28)</f>
        <v>10.1 英寸
比例：16:10
分辨率：1280×800
可视区域：218×136 mm
整机尺寸：240×150×20 mm
重量：0.6–0.8 kg
功率：10–15 W
亮度：400–500 cd/㎡
对比度：1000:1智慧展馆运维管理程序
功能：客流统计、设备巡检、故障报警、运行日志、远程控制
专业参数：数据采集频率≤5s；支持 Modbus/OpcUa 协议；提供 API 接口与第三方系统对接；支持移动端管理。</v>
      </c>
      <c r="D32" s="72" t="s">
        <v>22</v>
      </c>
      <c r="E32" s="73"/>
      <c r="F32" s="74">
        <v>0</v>
      </c>
      <c r="G32" s="75">
        <f>SUM(F4:G29)*F32</f>
        <v>0</v>
      </c>
      <c r="H32" s="76"/>
    </row>
    <row r="33" spans="2:8">
      <c r="B33" s="77" t="s">
        <v>23</v>
      </c>
      <c r="C33" s="78">
        <f>IF(F34=0,"",IF(F34&gt;=10000,INT(F34/10000)&amp;"万"&amp;MOD(F34,10000),F34))</f>
        <v>800</v>
      </c>
      <c r="D33" s="72" t="s">
        <v>24</v>
      </c>
      <c r="E33" s="73"/>
      <c r="F33" s="74">
        <v>0</v>
      </c>
      <c r="G33" s="75">
        <f>SUM(F4:G29)*F33</f>
        <v>0</v>
      </c>
      <c r="H33" s="76"/>
    </row>
    <row r="34" ht="26" customHeight="1" spans="2:8">
      <c r="B34" s="79"/>
      <c r="C34" s="80"/>
      <c r="D34" s="81" t="s">
        <v>25</v>
      </c>
      <c r="E34" s="81"/>
      <c r="F34" s="82">
        <f>SUM(F4:G29)+G32+G33</f>
        <v>800</v>
      </c>
      <c r="G34" s="83"/>
      <c r="H34" s="84"/>
    </row>
    <row r="35" spans="2:8">
      <c r="B35" s="85" t="s">
        <v>26</v>
      </c>
      <c r="C35" s="86" t="s">
        <v>27</v>
      </c>
    </row>
  </sheetData>
  <sheetProtection algorithmName="SHA-512" hashValue="OyG2a7y5rmKkzLQtS/A/hTOYwIi/9aF07+KgBN+rsV/epxogibutp+8M/mY+R1wS9uiQvASy7LCxkRBG6BO1AQ==" saltValue="d/xEJF1+yMfYfJOPz1nu1w==" spinCount="100000" sheet="1" formatCells="0" formatColumns="0" formatRows="0" insertRows="0" insertColumns="0" insertHyperlinks="0" deleteColumns="0" deleteRows="0" sort="0" autoFilter="0" pivotTables="0"/>
  <protectedRanges>
    <protectedRange sqref="B2:H34" name="Range2"/>
  </protectedRanges>
  <mergeCells count="38">
    <mergeCell ref="B2:H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C30:H30"/>
    <mergeCell ref="B31:H31"/>
    <mergeCell ref="D32:E32"/>
    <mergeCell ref="G32:H32"/>
    <mergeCell ref="D33:E33"/>
    <mergeCell ref="G33:H33"/>
    <mergeCell ref="D34:E34"/>
    <mergeCell ref="F34:H34"/>
    <mergeCell ref="B33:B34"/>
    <mergeCell ref="C33:C34"/>
  </mergeCells>
  <dataValidations count="25">
    <dataValidation type="list" allowBlank="1" showInputMessage="1" showErrorMessage="1" sqref="C4">
      <formula1>显示器</formula1>
    </dataValidation>
    <dataValidation type="list" allowBlank="1" showInputMessage="1" showErrorMessage="1" sqref="C5">
      <formula1>LED屏</formula1>
    </dataValidation>
    <dataValidation type="list" allowBlank="1" showInputMessage="1" showErrorMessage="1" sqref="C6">
      <formula1>投影机</formula1>
    </dataValidation>
    <dataValidation type="list" allowBlank="1" showInputMessage="1" showErrorMessage="1" sqref="C7">
      <formula1>互动方式</formula1>
    </dataValidation>
    <dataValidation type="list" allowBlank="1" showInputMessage="1" showErrorMessage="1" sqref="C8">
      <formula1>机箱</formula1>
    </dataValidation>
    <dataValidation type="list" allowBlank="1" showInputMessage="1" showErrorMessage="1" sqref="C9">
      <formula1>处理器</formula1>
    </dataValidation>
    <dataValidation type="list" allowBlank="1" showInputMessage="1" showErrorMessage="1" sqref="C10">
      <formula1>显卡</formula1>
    </dataValidation>
    <dataValidation type="list" allowBlank="1" showInputMessage="1" showErrorMessage="1" sqref="C11">
      <formula1>传输方式</formula1>
    </dataValidation>
    <dataValidation type="list" allowBlank="1" showInputMessage="1" showErrorMessage="1" sqref="C12">
      <formula1>音频系统</formula1>
    </dataValidation>
    <dataValidation type="list" allowBlank="1" showInputMessage="1" showErrorMessage="1" sqref="C13">
      <formula1>'数据库（价格维护）'!$S:$S</formula1>
    </dataValidation>
    <dataValidation type="list" allowBlank="1" showInputMessage="1" showErrorMessage="1" sqref="C14">
      <formula1>一</formula1>
    </dataValidation>
    <dataValidation type="list" allowBlank="1" showInputMessage="1" showErrorMessage="1" sqref="C15">
      <formula1>二</formula1>
    </dataValidation>
    <dataValidation type="list" allowBlank="1" showInputMessage="1" showErrorMessage="1" sqref="C16">
      <formula1>三</formula1>
    </dataValidation>
    <dataValidation type="list" allowBlank="1" showInputMessage="1" showErrorMessage="1" sqref="C17">
      <formula1>四</formula1>
    </dataValidation>
    <dataValidation type="list" allowBlank="1" showInputMessage="1" showErrorMessage="1" sqref="C18">
      <formula1>五</formula1>
    </dataValidation>
    <dataValidation type="list" allowBlank="1" showInputMessage="1" showErrorMessage="1" sqref="C19">
      <formula1>六</formula1>
    </dataValidation>
    <dataValidation type="list" allowBlank="1" showInputMessage="1" showErrorMessage="1" sqref="C20">
      <formula1>七</formula1>
    </dataValidation>
    <dataValidation type="list" allowBlank="1" showInputMessage="1" showErrorMessage="1" sqref="C21">
      <formula1>八</formula1>
    </dataValidation>
    <dataValidation type="list" allowBlank="1" showInputMessage="1" showErrorMessage="1" sqref="C22">
      <formula1>九</formula1>
    </dataValidation>
    <dataValidation type="list" allowBlank="1" showInputMessage="1" showErrorMessage="1" sqref="C23">
      <formula1>十</formula1>
    </dataValidation>
    <dataValidation type="list" allowBlank="1" showInputMessage="1" showErrorMessage="1" sqref="C24">
      <formula1>十一</formula1>
    </dataValidation>
    <dataValidation type="list" allowBlank="1" showInputMessage="1" showErrorMessage="1" sqref="C25">
      <formula1>十二</formula1>
    </dataValidation>
    <dataValidation type="list" allowBlank="1" showInputMessage="1" showErrorMessage="1" sqref="C26">
      <formula1>十三</formula1>
    </dataValidation>
    <dataValidation type="list" allowBlank="1" showInputMessage="1" showErrorMessage="1" sqref="C27">
      <formula1>十四</formula1>
    </dataValidation>
    <dataValidation type="list" allowBlank="1" showInputMessage="1" showErrorMessage="1" sqref="C28">
      <formula1>十五</formula1>
    </dataValidation>
  </dataValidations>
  <hyperlinks>
    <hyperlink ref="C35" r:id="rId1" display="https://4kwjstdndc4ww.aiforce.cloud/app/app_17dv0xu8t0y"/>
  </hyperlinks>
  <printOptions horizontalCentered="1"/>
  <pageMargins left="0.708661417322835" right="0.708661417322835" top="0.748031496062992" bottom="0.748031496062992" header="0.31496062992126" footer="0.31496062992126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FF00"/>
  </sheetPr>
  <dimension ref="A1:ZV21"/>
  <sheetViews>
    <sheetView topLeftCell="L1" workbookViewId="0">
      <selection activeCell="L7" sqref="L7:L11"/>
    </sheetView>
  </sheetViews>
  <sheetFormatPr defaultColWidth="24.125" defaultRowHeight="13.5"/>
  <cols>
    <col min="1" max="1" width="20.875" style="17" customWidth="1"/>
    <col min="2" max="2" width="11.25" style="18" hidden="1" customWidth="1"/>
    <col min="3" max="3" width="22" style="18" customWidth="1"/>
    <col min="4" max="4" width="13.75" style="18" hidden="1" customWidth="1"/>
    <col min="5" max="5" width="19.5" style="18" customWidth="1"/>
    <col min="6" max="6" width="13.75" style="18" hidden="1" customWidth="1"/>
    <col min="7" max="7" width="15.625" style="18" customWidth="1"/>
    <col min="8" max="8" width="11.375" style="18" hidden="1" customWidth="1"/>
    <col min="9" max="9" width="14.75" style="18" customWidth="1"/>
    <col min="10" max="10" width="13.125" style="18" hidden="1" customWidth="1"/>
    <col min="11" max="11" width="15.625" style="18" customWidth="1"/>
    <col min="12" max="12" width="11.875" style="18" hidden="1" customWidth="1"/>
    <col min="13" max="13" width="16.125" style="18" customWidth="1"/>
    <col min="14" max="14" width="12.875" style="18" hidden="1" customWidth="1"/>
    <col min="15" max="15" width="24.125" style="18"/>
    <col min="16" max="16" width="14.25" style="18" hidden="1" customWidth="1"/>
    <col min="17" max="17" width="24.125" style="18"/>
    <col min="18" max="18" width="11.875" style="18" hidden="1" customWidth="1"/>
    <col min="19" max="19" width="24.125" style="18"/>
    <col min="20" max="20" width="8.625" style="18" hidden="1" customWidth="1"/>
    <col min="21" max="21" width="24.125" style="18"/>
    <col min="22" max="22" width="8.625" style="18" customWidth="1"/>
    <col min="23" max="16384" width="24.125" style="18"/>
  </cols>
  <sheetData>
    <row r="1" s="16" customFormat="1" ht="24" customHeight="1" spans="1:698">
      <c r="A1" s="19" t="s">
        <v>6</v>
      </c>
      <c r="B1" s="20" t="s">
        <v>28</v>
      </c>
      <c r="C1" s="21" t="s">
        <v>8</v>
      </c>
      <c r="D1" s="20" t="s">
        <v>29</v>
      </c>
      <c r="E1" s="21" t="s">
        <v>9</v>
      </c>
      <c r="F1" s="22" t="s">
        <v>30</v>
      </c>
      <c r="G1" s="23" t="s">
        <v>10</v>
      </c>
      <c r="H1" s="24" t="s">
        <v>31</v>
      </c>
      <c r="I1" s="25" t="s">
        <v>11</v>
      </c>
      <c r="J1" s="24" t="s">
        <v>32</v>
      </c>
      <c r="K1" s="26" t="s">
        <v>12</v>
      </c>
      <c r="L1" s="27" t="s">
        <v>33</v>
      </c>
      <c r="M1" s="25" t="s">
        <v>13</v>
      </c>
      <c r="N1" s="24" t="s">
        <v>34</v>
      </c>
      <c r="O1" s="25" t="s">
        <v>14</v>
      </c>
      <c r="P1" s="24" t="s">
        <v>35</v>
      </c>
      <c r="Q1" s="25" t="s">
        <v>15</v>
      </c>
      <c r="R1" s="24" t="s">
        <v>36</v>
      </c>
      <c r="S1" s="25" t="s">
        <v>16</v>
      </c>
      <c r="T1" s="24" t="s">
        <v>37</v>
      </c>
      <c r="U1" s="26" t="s">
        <v>38</v>
      </c>
      <c r="V1" s="24" t="s">
        <v>39</v>
      </c>
      <c r="W1" s="25" t="s">
        <v>40</v>
      </c>
      <c r="X1" s="24" t="s">
        <v>39</v>
      </c>
      <c r="Y1" s="25" t="s">
        <v>41</v>
      </c>
      <c r="Z1" s="24" t="s">
        <v>39</v>
      </c>
      <c r="AA1" s="28" t="s">
        <v>17</v>
      </c>
      <c r="AB1" s="29" t="s">
        <v>39</v>
      </c>
      <c r="AC1" s="28" t="s">
        <v>42</v>
      </c>
      <c r="AD1" s="29" t="s">
        <v>39</v>
      </c>
      <c r="AE1" s="25" t="s">
        <v>43</v>
      </c>
      <c r="AF1" s="24" t="s">
        <v>39</v>
      </c>
      <c r="AG1" s="25" t="s">
        <v>44</v>
      </c>
      <c r="AH1" s="24" t="s">
        <v>39</v>
      </c>
      <c r="AI1" s="25" t="s">
        <v>45</v>
      </c>
      <c r="AJ1" s="24" t="s">
        <v>39</v>
      </c>
      <c r="AK1" s="25" t="s">
        <v>46</v>
      </c>
      <c r="AL1" s="24" t="s">
        <v>39</v>
      </c>
      <c r="AM1" s="25" t="s">
        <v>47</v>
      </c>
      <c r="AN1" s="24" t="s">
        <v>39</v>
      </c>
      <c r="AO1" s="25" t="s">
        <v>48</v>
      </c>
      <c r="AP1" s="24" t="s">
        <v>39</v>
      </c>
      <c r="AQ1" s="25" t="s">
        <v>49</v>
      </c>
      <c r="AR1" s="24" t="s">
        <v>39</v>
      </c>
      <c r="AS1" s="25" t="s">
        <v>50</v>
      </c>
      <c r="AT1" s="24" t="s">
        <v>39</v>
      </c>
      <c r="AU1" s="25" t="s">
        <v>51</v>
      </c>
      <c r="AV1" s="24" t="s">
        <v>39</v>
      </c>
      <c r="AW1" s="25" t="s">
        <v>52</v>
      </c>
      <c r="AX1" s="24" t="s">
        <v>39</v>
      </c>
      <c r="AY1" s="25" t="s">
        <v>53</v>
      </c>
      <c r="AZ1" s="24" t="s">
        <v>39</v>
      </c>
      <c r="BA1" s="25" t="s">
        <v>54</v>
      </c>
      <c r="BB1" s="24" t="s">
        <v>39</v>
      </c>
      <c r="BC1" s="25" t="s">
        <v>55</v>
      </c>
      <c r="BD1" s="24" t="s">
        <v>39</v>
      </c>
      <c r="BE1" s="25" t="s">
        <v>56</v>
      </c>
      <c r="BF1" s="24" t="s">
        <v>39</v>
      </c>
      <c r="BG1" s="25" t="s">
        <v>57</v>
      </c>
      <c r="BH1" s="24" t="s">
        <v>39</v>
      </c>
      <c r="BI1" s="25" t="s">
        <v>58</v>
      </c>
      <c r="BJ1" s="24" t="s">
        <v>39</v>
      </c>
      <c r="BK1" s="25" t="s">
        <v>59</v>
      </c>
      <c r="BL1" s="24" t="s">
        <v>39</v>
      </c>
      <c r="BM1" s="25" t="s">
        <v>60</v>
      </c>
      <c r="BN1" s="24" t="s">
        <v>39</v>
      </c>
      <c r="BO1" s="25" t="s">
        <v>61</v>
      </c>
      <c r="BP1" s="24" t="s">
        <v>39</v>
      </c>
      <c r="BQ1" s="25" t="s">
        <v>62</v>
      </c>
      <c r="BR1" s="24" t="s">
        <v>39</v>
      </c>
      <c r="BS1" s="25" t="s">
        <v>63</v>
      </c>
      <c r="BT1" s="24" t="s">
        <v>39</v>
      </c>
      <c r="BU1" s="25" t="s">
        <v>64</v>
      </c>
      <c r="BV1" s="24" t="s">
        <v>39</v>
      </c>
      <c r="BW1" s="25" t="s">
        <v>65</v>
      </c>
      <c r="BX1" s="24" t="s">
        <v>39</v>
      </c>
      <c r="BY1" s="25" t="s">
        <v>66</v>
      </c>
      <c r="BZ1" s="24" t="s">
        <v>39</v>
      </c>
      <c r="CA1" s="25" t="s">
        <v>67</v>
      </c>
      <c r="CB1" s="24" t="s">
        <v>39</v>
      </c>
      <c r="CC1" s="25" t="s">
        <v>68</v>
      </c>
      <c r="CD1" s="24" t="s">
        <v>39</v>
      </c>
      <c r="CE1" s="25" t="s">
        <v>69</v>
      </c>
      <c r="CF1" s="24" t="s">
        <v>39</v>
      </c>
      <c r="CG1" s="25" t="s">
        <v>70</v>
      </c>
      <c r="CH1" s="24" t="s">
        <v>39</v>
      </c>
      <c r="CI1" s="25" t="s">
        <v>71</v>
      </c>
      <c r="CJ1" s="24" t="s">
        <v>39</v>
      </c>
      <c r="CK1" s="25">
        <v>6</v>
      </c>
      <c r="CL1" s="24" t="s">
        <v>39</v>
      </c>
      <c r="CM1" s="25">
        <v>7</v>
      </c>
      <c r="CN1" s="24" t="s">
        <v>39</v>
      </c>
      <c r="CO1" s="25">
        <v>7</v>
      </c>
      <c r="CP1" s="24" t="s">
        <v>39</v>
      </c>
      <c r="CQ1" s="25">
        <v>8</v>
      </c>
      <c r="CR1" s="24" t="s">
        <v>39</v>
      </c>
      <c r="CS1" s="25">
        <v>8</v>
      </c>
      <c r="CT1" s="24" t="s">
        <v>39</v>
      </c>
      <c r="CU1" s="25">
        <v>9</v>
      </c>
      <c r="CV1" s="24" t="s">
        <v>39</v>
      </c>
      <c r="CW1" s="25">
        <v>9</v>
      </c>
      <c r="CX1" s="24" t="s">
        <v>39</v>
      </c>
      <c r="CY1" s="25">
        <v>10</v>
      </c>
      <c r="CZ1" s="24" t="s">
        <v>39</v>
      </c>
      <c r="DA1" s="25">
        <v>4</v>
      </c>
      <c r="DB1" s="24" t="s">
        <v>39</v>
      </c>
      <c r="DC1" s="25">
        <v>5</v>
      </c>
      <c r="DD1" s="24" t="s">
        <v>39</v>
      </c>
      <c r="DE1" s="25">
        <v>5</v>
      </c>
      <c r="DF1" s="24" t="s">
        <v>39</v>
      </c>
      <c r="DG1" s="25">
        <v>6</v>
      </c>
      <c r="DH1" s="24" t="s">
        <v>39</v>
      </c>
      <c r="DI1" s="25">
        <v>6</v>
      </c>
      <c r="DJ1" s="24" t="s">
        <v>39</v>
      </c>
      <c r="DK1" s="25">
        <v>7</v>
      </c>
      <c r="DL1" s="24" t="s">
        <v>39</v>
      </c>
      <c r="DM1" s="25">
        <v>7</v>
      </c>
      <c r="DN1" s="24" t="s">
        <v>39</v>
      </c>
      <c r="DO1" s="25">
        <v>8</v>
      </c>
      <c r="DP1" s="24" t="s">
        <v>39</v>
      </c>
      <c r="DQ1" s="25">
        <v>8</v>
      </c>
      <c r="DR1" s="24" t="s">
        <v>39</v>
      </c>
      <c r="DS1" s="25">
        <v>9</v>
      </c>
      <c r="DT1" s="24" t="s">
        <v>39</v>
      </c>
      <c r="DU1" s="25">
        <v>9</v>
      </c>
      <c r="DV1" s="24" t="s">
        <v>39</v>
      </c>
      <c r="DW1" s="25">
        <v>10</v>
      </c>
      <c r="DX1" s="24" t="s">
        <v>39</v>
      </c>
      <c r="DY1" s="25">
        <v>10</v>
      </c>
      <c r="DZ1" s="24" t="s">
        <v>39</v>
      </c>
      <c r="EA1" s="25">
        <v>11</v>
      </c>
      <c r="EB1" s="24" t="s">
        <v>39</v>
      </c>
      <c r="EC1" s="25">
        <v>5</v>
      </c>
      <c r="ED1" s="24" t="s">
        <v>39</v>
      </c>
      <c r="EE1" s="25">
        <v>6</v>
      </c>
      <c r="EF1" s="24" t="s">
        <v>39</v>
      </c>
      <c r="EG1" s="25">
        <v>6</v>
      </c>
      <c r="EH1" s="24" t="s">
        <v>39</v>
      </c>
      <c r="EI1" s="25">
        <v>7</v>
      </c>
      <c r="EJ1" s="24" t="s">
        <v>39</v>
      </c>
      <c r="EK1" s="25">
        <v>7</v>
      </c>
      <c r="EL1" s="24" t="s">
        <v>39</v>
      </c>
      <c r="EM1" s="25">
        <v>8</v>
      </c>
      <c r="EN1" s="24" t="s">
        <v>39</v>
      </c>
      <c r="EO1" s="25">
        <v>8</v>
      </c>
      <c r="EP1" s="24" t="s">
        <v>39</v>
      </c>
      <c r="EQ1" s="25">
        <v>9</v>
      </c>
      <c r="ER1" s="24" t="s">
        <v>39</v>
      </c>
      <c r="ES1" s="25">
        <v>9</v>
      </c>
      <c r="ET1" s="24" t="s">
        <v>39</v>
      </c>
      <c r="EU1" s="25">
        <v>10</v>
      </c>
      <c r="EV1" s="24" t="s">
        <v>39</v>
      </c>
      <c r="EW1" s="25">
        <v>10</v>
      </c>
      <c r="EX1" s="24" t="s">
        <v>39</v>
      </c>
      <c r="EY1" s="25">
        <v>11</v>
      </c>
      <c r="EZ1" s="24" t="s">
        <v>39</v>
      </c>
      <c r="FA1" s="25">
        <v>11</v>
      </c>
      <c r="FB1" s="24" t="s">
        <v>39</v>
      </c>
      <c r="FC1" s="25">
        <v>12</v>
      </c>
      <c r="FD1" s="24" t="s">
        <v>39</v>
      </c>
      <c r="FE1" s="25">
        <v>6</v>
      </c>
      <c r="FF1" s="24" t="s">
        <v>39</v>
      </c>
      <c r="FG1" s="25">
        <v>7</v>
      </c>
      <c r="FH1" s="24" t="s">
        <v>39</v>
      </c>
      <c r="FI1" s="25">
        <v>7</v>
      </c>
      <c r="FJ1" s="24" t="s">
        <v>39</v>
      </c>
      <c r="FK1" s="25">
        <v>8</v>
      </c>
      <c r="FL1" s="24" t="s">
        <v>39</v>
      </c>
      <c r="FM1" s="25">
        <v>8</v>
      </c>
      <c r="FN1" s="24" t="s">
        <v>39</v>
      </c>
      <c r="FO1" s="25">
        <v>9</v>
      </c>
      <c r="FP1" s="24" t="s">
        <v>39</v>
      </c>
      <c r="FQ1" s="25">
        <v>9</v>
      </c>
      <c r="FR1" s="24" t="s">
        <v>39</v>
      </c>
      <c r="FS1" s="25">
        <v>10</v>
      </c>
      <c r="FT1" s="24" t="s">
        <v>39</v>
      </c>
      <c r="FU1" s="25">
        <v>10</v>
      </c>
      <c r="FV1" s="24" t="s">
        <v>39</v>
      </c>
      <c r="FW1" s="25">
        <v>11</v>
      </c>
      <c r="FX1" s="24" t="s">
        <v>39</v>
      </c>
      <c r="FY1" s="25">
        <v>11</v>
      </c>
      <c r="FZ1" s="24" t="s">
        <v>39</v>
      </c>
      <c r="GA1" s="25">
        <v>12</v>
      </c>
      <c r="GB1" s="24" t="s">
        <v>39</v>
      </c>
      <c r="GC1" s="25">
        <v>12</v>
      </c>
      <c r="GD1" s="24" t="s">
        <v>39</v>
      </c>
      <c r="GE1" s="25">
        <v>13</v>
      </c>
      <c r="GF1" s="24" t="s">
        <v>39</v>
      </c>
      <c r="GG1" s="25">
        <v>7</v>
      </c>
      <c r="GH1" s="24" t="s">
        <v>39</v>
      </c>
      <c r="GI1" s="25">
        <v>8</v>
      </c>
      <c r="GJ1" s="24" t="s">
        <v>39</v>
      </c>
      <c r="GK1" s="25">
        <v>8</v>
      </c>
      <c r="GL1" s="24" t="s">
        <v>39</v>
      </c>
      <c r="GM1" s="25">
        <v>9</v>
      </c>
      <c r="GN1" s="24" t="s">
        <v>39</v>
      </c>
      <c r="GO1" s="25">
        <v>9</v>
      </c>
      <c r="GP1" s="24" t="s">
        <v>39</v>
      </c>
      <c r="GQ1" s="25">
        <v>10</v>
      </c>
      <c r="GR1" s="24" t="s">
        <v>39</v>
      </c>
      <c r="GS1" s="25">
        <v>10</v>
      </c>
      <c r="GT1" s="24" t="s">
        <v>39</v>
      </c>
      <c r="GU1" s="25">
        <v>11</v>
      </c>
      <c r="GV1" s="24" t="s">
        <v>39</v>
      </c>
      <c r="GW1" s="25">
        <v>11</v>
      </c>
      <c r="GX1" s="24" t="s">
        <v>39</v>
      </c>
      <c r="GY1" s="25">
        <v>12</v>
      </c>
      <c r="GZ1" s="24" t="s">
        <v>39</v>
      </c>
      <c r="HA1" s="25">
        <v>12</v>
      </c>
      <c r="HB1" s="24" t="s">
        <v>39</v>
      </c>
      <c r="HC1" s="25">
        <v>13</v>
      </c>
      <c r="HD1" s="24" t="s">
        <v>39</v>
      </c>
      <c r="HE1" s="25">
        <v>13</v>
      </c>
      <c r="HF1" s="24" t="s">
        <v>39</v>
      </c>
      <c r="HG1" s="25">
        <v>14</v>
      </c>
      <c r="HH1" s="24" t="s">
        <v>39</v>
      </c>
      <c r="HI1" s="25">
        <v>8</v>
      </c>
      <c r="HJ1" s="24" t="s">
        <v>39</v>
      </c>
      <c r="HK1" s="25">
        <v>9</v>
      </c>
      <c r="HL1" s="24" t="s">
        <v>39</v>
      </c>
      <c r="HM1" s="25">
        <v>9</v>
      </c>
      <c r="HN1" s="24" t="s">
        <v>39</v>
      </c>
      <c r="HO1" s="25">
        <v>10</v>
      </c>
      <c r="HP1" s="24" t="s">
        <v>39</v>
      </c>
      <c r="HQ1" s="25">
        <v>10</v>
      </c>
      <c r="HR1" s="24" t="s">
        <v>39</v>
      </c>
      <c r="HS1" s="25">
        <v>11</v>
      </c>
      <c r="HT1" s="24" t="s">
        <v>39</v>
      </c>
      <c r="HU1" s="25">
        <v>11</v>
      </c>
      <c r="HV1" s="24" t="s">
        <v>39</v>
      </c>
      <c r="HW1" s="25">
        <v>12</v>
      </c>
      <c r="HX1" s="24" t="s">
        <v>39</v>
      </c>
      <c r="HY1" s="25">
        <v>12</v>
      </c>
      <c r="HZ1" s="24" t="s">
        <v>39</v>
      </c>
      <c r="IA1" s="25">
        <v>13</v>
      </c>
      <c r="IB1" s="24" t="s">
        <v>39</v>
      </c>
      <c r="IC1" s="25">
        <v>13</v>
      </c>
      <c r="ID1" s="24" t="s">
        <v>39</v>
      </c>
      <c r="IE1" s="25">
        <v>14</v>
      </c>
      <c r="IF1" s="24" t="s">
        <v>39</v>
      </c>
      <c r="IG1" s="25">
        <v>14</v>
      </c>
      <c r="IH1" s="24" t="s">
        <v>39</v>
      </c>
      <c r="II1" s="25">
        <v>15</v>
      </c>
      <c r="IJ1" s="24" t="s">
        <v>39</v>
      </c>
      <c r="IK1" s="25">
        <v>9</v>
      </c>
      <c r="IL1" s="24" t="s">
        <v>39</v>
      </c>
      <c r="IM1" s="25">
        <v>10</v>
      </c>
      <c r="IN1" s="24" t="s">
        <v>39</v>
      </c>
      <c r="IO1" s="25">
        <v>10</v>
      </c>
      <c r="IP1" s="24" t="s">
        <v>39</v>
      </c>
      <c r="IQ1" s="25">
        <v>11</v>
      </c>
      <c r="IR1" s="24" t="s">
        <v>39</v>
      </c>
      <c r="IS1" s="25">
        <v>11</v>
      </c>
      <c r="IT1" s="24" t="s">
        <v>39</v>
      </c>
      <c r="IU1" s="25">
        <v>12</v>
      </c>
      <c r="IV1" s="24" t="s">
        <v>39</v>
      </c>
      <c r="IW1" s="25">
        <v>12</v>
      </c>
      <c r="IX1" s="24" t="s">
        <v>39</v>
      </c>
      <c r="IY1" s="25">
        <v>13</v>
      </c>
      <c r="IZ1" s="24" t="s">
        <v>39</v>
      </c>
      <c r="JA1" s="25">
        <v>13</v>
      </c>
      <c r="JB1" s="24" t="s">
        <v>39</v>
      </c>
      <c r="JC1" s="25">
        <v>14</v>
      </c>
      <c r="JD1" s="24" t="s">
        <v>39</v>
      </c>
      <c r="JE1" s="25">
        <v>14</v>
      </c>
      <c r="JF1" s="24" t="s">
        <v>39</v>
      </c>
      <c r="JG1" s="25">
        <v>15</v>
      </c>
      <c r="JH1" s="24" t="s">
        <v>39</v>
      </c>
      <c r="JI1" s="25">
        <v>15</v>
      </c>
      <c r="JJ1" s="24" t="s">
        <v>39</v>
      </c>
      <c r="JK1" s="25">
        <v>16</v>
      </c>
      <c r="JL1" s="24" t="s">
        <v>39</v>
      </c>
      <c r="JM1" s="25">
        <v>10</v>
      </c>
      <c r="JN1" s="24" t="s">
        <v>39</v>
      </c>
      <c r="JO1" s="25">
        <v>11</v>
      </c>
      <c r="JP1" s="24" t="s">
        <v>39</v>
      </c>
      <c r="JQ1" s="25">
        <v>11</v>
      </c>
      <c r="JR1" s="24" t="s">
        <v>39</v>
      </c>
      <c r="JS1" s="25">
        <v>12</v>
      </c>
      <c r="JT1" s="24" t="s">
        <v>39</v>
      </c>
      <c r="JU1" s="25">
        <v>12</v>
      </c>
      <c r="JV1" s="24" t="s">
        <v>39</v>
      </c>
      <c r="JW1" s="25">
        <v>13</v>
      </c>
      <c r="JX1" s="24" t="s">
        <v>39</v>
      </c>
      <c r="JY1" s="25">
        <v>13</v>
      </c>
      <c r="JZ1" s="24" t="s">
        <v>39</v>
      </c>
      <c r="KA1" s="25">
        <v>14</v>
      </c>
      <c r="KB1" s="24" t="s">
        <v>39</v>
      </c>
      <c r="KC1" s="25">
        <v>14</v>
      </c>
      <c r="KD1" s="24" t="s">
        <v>39</v>
      </c>
      <c r="KE1" s="25">
        <v>15</v>
      </c>
      <c r="KF1" s="24" t="s">
        <v>39</v>
      </c>
      <c r="KG1" s="25">
        <v>15</v>
      </c>
      <c r="KH1" s="24" t="s">
        <v>39</v>
      </c>
      <c r="KI1" s="25">
        <v>16</v>
      </c>
      <c r="KJ1" s="24" t="s">
        <v>39</v>
      </c>
      <c r="KK1" s="25">
        <v>16</v>
      </c>
      <c r="KL1" s="24" t="s">
        <v>39</v>
      </c>
      <c r="KM1" s="25">
        <v>17</v>
      </c>
      <c r="KN1" s="24" t="s">
        <v>39</v>
      </c>
      <c r="KO1" s="25">
        <v>11</v>
      </c>
      <c r="KP1" s="24" t="s">
        <v>39</v>
      </c>
      <c r="KQ1" s="25">
        <v>12</v>
      </c>
      <c r="KR1" s="24" t="s">
        <v>39</v>
      </c>
      <c r="KS1" s="25">
        <v>12</v>
      </c>
      <c r="KT1" s="24" t="s">
        <v>39</v>
      </c>
      <c r="KU1" s="25">
        <v>13</v>
      </c>
      <c r="KV1" s="24" t="s">
        <v>39</v>
      </c>
      <c r="KW1" s="25">
        <v>13</v>
      </c>
      <c r="KX1" s="24" t="s">
        <v>39</v>
      </c>
      <c r="KY1" s="25">
        <v>14</v>
      </c>
      <c r="KZ1" s="24" t="s">
        <v>39</v>
      </c>
      <c r="LA1" s="25">
        <v>14</v>
      </c>
      <c r="LB1" s="24" t="s">
        <v>39</v>
      </c>
      <c r="LC1" s="25">
        <v>15</v>
      </c>
      <c r="LD1" s="24" t="s">
        <v>39</v>
      </c>
      <c r="LE1" s="25">
        <v>15</v>
      </c>
      <c r="LF1" s="24" t="s">
        <v>39</v>
      </c>
      <c r="LG1" s="25">
        <v>16</v>
      </c>
      <c r="LH1" s="24" t="s">
        <v>39</v>
      </c>
      <c r="LI1" s="25">
        <v>16</v>
      </c>
      <c r="LJ1" s="24" t="s">
        <v>39</v>
      </c>
      <c r="LK1" s="25">
        <v>17</v>
      </c>
      <c r="LL1" s="24" t="s">
        <v>39</v>
      </c>
      <c r="LM1" s="25">
        <v>17</v>
      </c>
      <c r="LN1" s="24" t="s">
        <v>39</v>
      </c>
      <c r="LO1" s="25">
        <v>18</v>
      </c>
      <c r="LP1" s="24" t="s">
        <v>39</v>
      </c>
      <c r="LQ1" s="25">
        <v>12</v>
      </c>
      <c r="LR1" s="24" t="s">
        <v>39</v>
      </c>
      <c r="LS1" s="25">
        <v>13</v>
      </c>
      <c r="LT1" s="24" t="s">
        <v>39</v>
      </c>
      <c r="LU1" s="25">
        <v>13</v>
      </c>
      <c r="LV1" s="24" t="s">
        <v>39</v>
      </c>
      <c r="LW1" s="25">
        <v>14</v>
      </c>
      <c r="LX1" s="24" t="s">
        <v>39</v>
      </c>
      <c r="LY1" s="25">
        <v>14</v>
      </c>
      <c r="LZ1" s="24" t="s">
        <v>39</v>
      </c>
      <c r="MA1" s="25">
        <v>15</v>
      </c>
      <c r="MB1" s="24" t="s">
        <v>39</v>
      </c>
      <c r="MC1" s="25">
        <v>15</v>
      </c>
      <c r="MD1" s="24" t="s">
        <v>39</v>
      </c>
      <c r="ME1" s="25">
        <v>16</v>
      </c>
      <c r="MF1" s="24" t="s">
        <v>39</v>
      </c>
      <c r="MG1" s="25">
        <v>16</v>
      </c>
      <c r="MH1" s="24" t="s">
        <v>39</v>
      </c>
      <c r="MI1" s="25">
        <v>17</v>
      </c>
      <c r="MJ1" s="24" t="s">
        <v>39</v>
      </c>
      <c r="MK1" s="25">
        <v>17</v>
      </c>
      <c r="ML1" s="24" t="s">
        <v>39</v>
      </c>
      <c r="MM1" s="25">
        <v>18</v>
      </c>
      <c r="MN1" s="24" t="s">
        <v>39</v>
      </c>
      <c r="MO1" s="25">
        <v>18</v>
      </c>
      <c r="MP1" s="24" t="s">
        <v>39</v>
      </c>
      <c r="MQ1" s="25">
        <v>19</v>
      </c>
      <c r="MR1" s="24" t="s">
        <v>39</v>
      </c>
      <c r="MS1" s="25">
        <v>13</v>
      </c>
      <c r="MT1" s="24" t="s">
        <v>39</v>
      </c>
      <c r="MU1" s="25">
        <v>14</v>
      </c>
      <c r="MV1" s="24" t="s">
        <v>39</v>
      </c>
      <c r="MW1" s="25">
        <v>14</v>
      </c>
      <c r="MX1" s="24" t="s">
        <v>39</v>
      </c>
      <c r="MY1" s="25">
        <v>15</v>
      </c>
      <c r="MZ1" s="24" t="s">
        <v>39</v>
      </c>
      <c r="NA1" s="25">
        <v>15</v>
      </c>
      <c r="NB1" s="24" t="s">
        <v>39</v>
      </c>
      <c r="NC1" s="25">
        <v>16</v>
      </c>
      <c r="ND1" s="24" t="s">
        <v>39</v>
      </c>
      <c r="NE1" s="25">
        <v>16</v>
      </c>
      <c r="NF1" s="24" t="s">
        <v>39</v>
      </c>
      <c r="NG1" s="25">
        <v>17</v>
      </c>
      <c r="NH1" s="24" t="s">
        <v>39</v>
      </c>
      <c r="NI1" s="25">
        <v>17</v>
      </c>
      <c r="NJ1" s="24" t="s">
        <v>39</v>
      </c>
      <c r="NK1" s="25">
        <v>18</v>
      </c>
      <c r="NL1" s="24" t="s">
        <v>39</v>
      </c>
      <c r="NM1" s="25">
        <v>18</v>
      </c>
      <c r="NN1" s="24" t="s">
        <v>39</v>
      </c>
      <c r="NO1" s="25">
        <v>19</v>
      </c>
      <c r="NP1" s="24" t="s">
        <v>39</v>
      </c>
      <c r="NQ1" s="25">
        <v>19</v>
      </c>
      <c r="NR1" s="24" t="s">
        <v>39</v>
      </c>
      <c r="NS1" s="25">
        <v>20</v>
      </c>
      <c r="NT1" s="24" t="s">
        <v>39</v>
      </c>
      <c r="NU1" s="25">
        <v>14</v>
      </c>
      <c r="NV1" s="24" t="s">
        <v>39</v>
      </c>
      <c r="NW1" s="25">
        <v>15</v>
      </c>
      <c r="NX1" s="24" t="s">
        <v>39</v>
      </c>
      <c r="NY1" s="25">
        <v>15</v>
      </c>
      <c r="NZ1" s="24" t="s">
        <v>39</v>
      </c>
      <c r="OA1" s="25">
        <v>16</v>
      </c>
      <c r="OB1" s="24" t="s">
        <v>39</v>
      </c>
      <c r="OC1" s="25">
        <v>16</v>
      </c>
      <c r="OD1" s="24" t="s">
        <v>39</v>
      </c>
      <c r="OE1" s="25">
        <v>17</v>
      </c>
      <c r="OF1" s="24" t="s">
        <v>39</v>
      </c>
      <c r="OG1" s="25">
        <v>17</v>
      </c>
      <c r="OH1" s="24" t="s">
        <v>39</v>
      </c>
      <c r="OI1" s="25">
        <v>18</v>
      </c>
      <c r="OJ1" s="24" t="s">
        <v>39</v>
      </c>
      <c r="OK1" s="25">
        <v>18</v>
      </c>
      <c r="OL1" s="24" t="s">
        <v>39</v>
      </c>
      <c r="OM1" s="25">
        <v>19</v>
      </c>
      <c r="ON1" s="24" t="s">
        <v>39</v>
      </c>
      <c r="OO1" s="25">
        <v>19</v>
      </c>
      <c r="OP1" s="24" t="s">
        <v>39</v>
      </c>
      <c r="OQ1" s="25">
        <v>20</v>
      </c>
      <c r="OR1" s="24" t="s">
        <v>39</v>
      </c>
      <c r="OS1" s="25">
        <v>20</v>
      </c>
      <c r="OT1" s="24" t="s">
        <v>39</v>
      </c>
      <c r="OU1" s="25">
        <v>21</v>
      </c>
      <c r="OV1" s="24" t="s">
        <v>39</v>
      </c>
      <c r="OW1" s="25">
        <v>15</v>
      </c>
      <c r="OX1" s="24" t="s">
        <v>39</v>
      </c>
      <c r="OY1" s="25">
        <v>16</v>
      </c>
      <c r="OZ1" s="24" t="s">
        <v>39</v>
      </c>
      <c r="PA1" s="25">
        <v>16</v>
      </c>
      <c r="PB1" s="24" t="s">
        <v>39</v>
      </c>
      <c r="PC1" s="25">
        <v>17</v>
      </c>
      <c r="PD1" s="24" t="s">
        <v>39</v>
      </c>
      <c r="PE1" s="25">
        <v>17</v>
      </c>
      <c r="PF1" s="24" t="s">
        <v>39</v>
      </c>
      <c r="PG1" s="25">
        <v>18</v>
      </c>
      <c r="PH1" s="24" t="s">
        <v>39</v>
      </c>
      <c r="PI1" s="25">
        <v>18</v>
      </c>
      <c r="PJ1" s="24" t="s">
        <v>39</v>
      </c>
      <c r="PK1" s="25">
        <v>19</v>
      </c>
      <c r="PL1" s="24" t="s">
        <v>39</v>
      </c>
      <c r="PM1" s="25">
        <v>19</v>
      </c>
      <c r="PN1" s="24" t="s">
        <v>39</v>
      </c>
      <c r="PO1" s="25">
        <v>20</v>
      </c>
      <c r="PP1" s="24" t="s">
        <v>39</v>
      </c>
      <c r="PQ1" s="25">
        <v>20</v>
      </c>
      <c r="PR1" s="24" t="s">
        <v>39</v>
      </c>
      <c r="PS1" s="25">
        <v>21</v>
      </c>
      <c r="PT1" s="24" t="s">
        <v>39</v>
      </c>
      <c r="PU1" s="25">
        <v>21</v>
      </c>
      <c r="PV1" s="24" t="s">
        <v>39</v>
      </c>
      <c r="PW1" s="25">
        <v>22</v>
      </c>
      <c r="PX1" s="24" t="s">
        <v>39</v>
      </c>
      <c r="PY1" s="25">
        <v>16</v>
      </c>
      <c r="PZ1" s="24" t="s">
        <v>39</v>
      </c>
      <c r="QA1" s="25">
        <v>17</v>
      </c>
      <c r="QB1" s="24" t="s">
        <v>39</v>
      </c>
      <c r="QC1" s="25">
        <v>17</v>
      </c>
      <c r="QD1" s="24" t="s">
        <v>39</v>
      </c>
      <c r="QE1" s="25">
        <v>18</v>
      </c>
      <c r="QF1" s="24" t="s">
        <v>39</v>
      </c>
      <c r="QG1" s="25">
        <v>18</v>
      </c>
      <c r="QH1" s="24" t="s">
        <v>39</v>
      </c>
      <c r="QI1" s="25">
        <v>19</v>
      </c>
      <c r="QJ1" s="24" t="s">
        <v>39</v>
      </c>
      <c r="QK1" s="25">
        <v>19</v>
      </c>
      <c r="QL1" s="24" t="s">
        <v>39</v>
      </c>
      <c r="QM1" s="25">
        <v>20</v>
      </c>
      <c r="QN1" s="24" t="s">
        <v>39</v>
      </c>
      <c r="QO1" s="25">
        <v>20</v>
      </c>
      <c r="QP1" s="24" t="s">
        <v>39</v>
      </c>
      <c r="QQ1" s="25">
        <v>21</v>
      </c>
      <c r="QR1" s="24" t="s">
        <v>39</v>
      </c>
      <c r="QS1" s="25">
        <v>21</v>
      </c>
      <c r="QT1" s="24" t="s">
        <v>39</v>
      </c>
      <c r="QU1" s="25">
        <v>22</v>
      </c>
      <c r="QV1" s="24" t="s">
        <v>39</v>
      </c>
      <c r="QW1" s="25">
        <v>22</v>
      </c>
      <c r="QX1" s="24" t="s">
        <v>39</v>
      </c>
      <c r="QY1" s="25">
        <v>23</v>
      </c>
      <c r="QZ1" s="24" t="s">
        <v>39</v>
      </c>
      <c r="RA1" s="25">
        <v>17</v>
      </c>
      <c r="RB1" s="24" t="s">
        <v>39</v>
      </c>
      <c r="RC1" s="25">
        <v>18</v>
      </c>
      <c r="RD1" s="24" t="s">
        <v>39</v>
      </c>
      <c r="RE1" s="25">
        <v>18</v>
      </c>
      <c r="RF1" s="24" t="s">
        <v>39</v>
      </c>
      <c r="RG1" s="25">
        <v>19</v>
      </c>
      <c r="RH1" s="24" t="s">
        <v>39</v>
      </c>
      <c r="RI1" s="25">
        <v>19</v>
      </c>
      <c r="RJ1" s="24" t="s">
        <v>39</v>
      </c>
      <c r="RK1" s="25">
        <v>20</v>
      </c>
      <c r="RL1" s="24" t="s">
        <v>39</v>
      </c>
      <c r="RM1" s="25">
        <v>20</v>
      </c>
      <c r="RN1" s="24" t="s">
        <v>39</v>
      </c>
      <c r="RO1" s="25">
        <v>21</v>
      </c>
      <c r="RP1" s="24" t="s">
        <v>39</v>
      </c>
      <c r="RQ1" s="25">
        <v>21</v>
      </c>
      <c r="RR1" s="24" t="s">
        <v>39</v>
      </c>
      <c r="RS1" s="25">
        <v>22</v>
      </c>
      <c r="RT1" s="24" t="s">
        <v>39</v>
      </c>
      <c r="RU1" s="25">
        <v>22</v>
      </c>
      <c r="RV1" s="24" t="s">
        <v>39</v>
      </c>
      <c r="RW1" s="25">
        <v>23</v>
      </c>
      <c r="RX1" s="24" t="s">
        <v>39</v>
      </c>
      <c r="RY1" s="25">
        <v>23</v>
      </c>
      <c r="RZ1" s="24" t="s">
        <v>39</v>
      </c>
      <c r="SA1" s="25">
        <v>24</v>
      </c>
      <c r="SB1" s="24" t="s">
        <v>39</v>
      </c>
      <c r="SC1" s="25">
        <v>18</v>
      </c>
      <c r="SD1" s="24" t="s">
        <v>39</v>
      </c>
      <c r="SE1" s="25">
        <v>19</v>
      </c>
      <c r="SF1" s="24" t="s">
        <v>39</v>
      </c>
      <c r="SG1" s="25">
        <v>19</v>
      </c>
      <c r="SH1" s="24" t="s">
        <v>39</v>
      </c>
      <c r="SI1" s="25">
        <v>20</v>
      </c>
      <c r="SJ1" s="24" t="s">
        <v>39</v>
      </c>
      <c r="SK1" s="25">
        <v>20</v>
      </c>
      <c r="SL1" s="24" t="s">
        <v>39</v>
      </c>
      <c r="SM1" s="25">
        <v>21</v>
      </c>
      <c r="SN1" s="24" t="s">
        <v>39</v>
      </c>
      <c r="SO1" s="25">
        <v>21</v>
      </c>
      <c r="SP1" s="24" t="s">
        <v>39</v>
      </c>
      <c r="SQ1" s="25">
        <v>22</v>
      </c>
      <c r="SR1" s="24" t="s">
        <v>39</v>
      </c>
      <c r="SS1" s="25">
        <v>22</v>
      </c>
      <c r="ST1" s="24" t="s">
        <v>39</v>
      </c>
      <c r="SU1" s="25">
        <v>23</v>
      </c>
      <c r="SV1" s="24" t="s">
        <v>39</v>
      </c>
      <c r="SW1" s="25">
        <v>23</v>
      </c>
      <c r="SX1" s="24" t="s">
        <v>39</v>
      </c>
      <c r="SY1" s="25">
        <v>24</v>
      </c>
      <c r="SZ1" s="24" t="s">
        <v>39</v>
      </c>
      <c r="TA1" s="25">
        <v>24</v>
      </c>
      <c r="TB1" s="24" t="s">
        <v>39</v>
      </c>
      <c r="TC1" s="25">
        <v>25</v>
      </c>
      <c r="TD1" s="24" t="s">
        <v>39</v>
      </c>
      <c r="TE1" s="25">
        <v>19</v>
      </c>
      <c r="TF1" s="24" t="s">
        <v>39</v>
      </c>
      <c r="TG1" s="25">
        <v>20</v>
      </c>
      <c r="TH1" s="24" t="s">
        <v>39</v>
      </c>
      <c r="TI1" s="25">
        <v>20</v>
      </c>
      <c r="TJ1" s="24" t="s">
        <v>39</v>
      </c>
      <c r="TK1" s="25">
        <v>21</v>
      </c>
      <c r="TL1" s="24" t="s">
        <v>39</v>
      </c>
      <c r="TM1" s="25">
        <v>21</v>
      </c>
      <c r="TN1" s="24" t="s">
        <v>39</v>
      </c>
      <c r="TO1" s="25">
        <v>22</v>
      </c>
      <c r="TP1" s="24" t="s">
        <v>39</v>
      </c>
      <c r="TQ1" s="25">
        <v>22</v>
      </c>
      <c r="TR1" s="24" t="s">
        <v>39</v>
      </c>
      <c r="TS1" s="25">
        <v>23</v>
      </c>
      <c r="TT1" s="24" t="s">
        <v>39</v>
      </c>
      <c r="TU1" s="25">
        <v>23</v>
      </c>
      <c r="TV1" s="24" t="s">
        <v>39</v>
      </c>
      <c r="TW1" s="25">
        <v>24</v>
      </c>
      <c r="TX1" s="24" t="s">
        <v>39</v>
      </c>
      <c r="TY1" s="25">
        <v>24</v>
      </c>
      <c r="TZ1" s="24" t="s">
        <v>39</v>
      </c>
      <c r="UA1" s="25">
        <v>25</v>
      </c>
      <c r="UB1" s="24" t="s">
        <v>39</v>
      </c>
      <c r="UC1" s="25">
        <v>25</v>
      </c>
      <c r="UD1" s="24" t="s">
        <v>39</v>
      </c>
      <c r="UE1" s="25">
        <v>26</v>
      </c>
      <c r="UF1" s="24" t="s">
        <v>39</v>
      </c>
      <c r="UG1" s="25">
        <v>20</v>
      </c>
      <c r="UH1" s="24" t="s">
        <v>39</v>
      </c>
      <c r="UI1" s="25">
        <v>21</v>
      </c>
      <c r="UJ1" s="24" t="s">
        <v>39</v>
      </c>
      <c r="UK1" s="25">
        <v>21</v>
      </c>
      <c r="UL1" s="24" t="s">
        <v>39</v>
      </c>
      <c r="UM1" s="25">
        <v>22</v>
      </c>
      <c r="UN1" s="24" t="s">
        <v>39</v>
      </c>
      <c r="UO1" s="25">
        <v>22</v>
      </c>
      <c r="UP1" s="24" t="s">
        <v>39</v>
      </c>
      <c r="UQ1" s="25">
        <v>23</v>
      </c>
      <c r="UR1" s="24" t="s">
        <v>39</v>
      </c>
      <c r="US1" s="25">
        <v>23</v>
      </c>
      <c r="UT1" s="24" t="s">
        <v>39</v>
      </c>
      <c r="UU1" s="25">
        <v>24</v>
      </c>
      <c r="UV1" s="24" t="s">
        <v>39</v>
      </c>
      <c r="UW1" s="25">
        <v>24</v>
      </c>
      <c r="UX1" s="24" t="s">
        <v>39</v>
      </c>
      <c r="UY1" s="25">
        <v>25</v>
      </c>
      <c r="UZ1" s="24" t="s">
        <v>39</v>
      </c>
      <c r="VA1" s="25">
        <v>25</v>
      </c>
      <c r="VB1" s="24" t="s">
        <v>39</v>
      </c>
      <c r="VC1" s="25">
        <v>26</v>
      </c>
      <c r="VD1" s="24" t="s">
        <v>39</v>
      </c>
      <c r="VE1" s="25">
        <v>26</v>
      </c>
      <c r="VF1" s="24" t="s">
        <v>39</v>
      </c>
      <c r="VG1" s="25">
        <v>27</v>
      </c>
      <c r="VH1" s="24" t="s">
        <v>39</v>
      </c>
      <c r="VI1" s="25">
        <v>21</v>
      </c>
      <c r="VJ1" s="24" t="s">
        <v>39</v>
      </c>
      <c r="VK1" s="25">
        <v>22</v>
      </c>
      <c r="VL1" s="24" t="s">
        <v>39</v>
      </c>
      <c r="VM1" s="25">
        <v>22</v>
      </c>
      <c r="VN1" s="24" t="s">
        <v>39</v>
      </c>
      <c r="VO1" s="25">
        <v>23</v>
      </c>
      <c r="VP1" s="24" t="s">
        <v>39</v>
      </c>
      <c r="VQ1" s="25">
        <v>23</v>
      </c>
      <c r="VR1" s="24" t="s">
        <v>39</v>
      </c>
      <c r="VS1" s="25">
        <v>24</v>
      </c>
      <c r="VT1" s="24" t="s">
        <v>39</v>
      </c>
      <c r="VU1" s="25">
        <v>24</v>
      </c>
      <c r="VV1" s="24" t="s">
        <v>39</v>
      </c>
      <c r="VW1" s="25">
        <v>25</v>
      </c>
      <c r="VX1" s="24" t="s">
        <v>39</v>
      </c>
      <c r="VY1" s="25">
        <v>25</v>
      </c>
      <c r="VZ1" s="24" t="s">
        <v>39</v>
      </c>
      <c r="WA1" s="25">
        <v>26</v>
      </c>
      <c r="WB1" s="24" t="s">
        <v>39</v>
      </c>
      <c r="WC1" s="25">
        <v>26</v>
      </c>
      <c r="WD1" s="24" t="s">
        <v>39</v>
      </c>
      <c r="WE1" s="25">
        <v>27</v>
      </c>
      <c r="WF1" s="24" t="s">
        <v>39</v>
      </c>
      <c r="WG1" s="25">
        <v>27</v>
      </c>
      <c r="WH1" s="24" t="s">
        <v>39</v>
      </c>
      <c r="WI1" s="25">
        <v>28</v>
      </c>
      <c r="WJ1" s="24" t="s">
        <v>39</v>
      </c>
      <c r="WK1" s="25">
        <v>22</v>
      </c>
      <c r="WL1" s="24" t="s">
        <v>39</v>
      </c>
      <c r="WM1" s="25">
        <v>23</v>
      </c>
      <c r="WN1" s="24" t="s">
        <v>39</v>
      </c>
      <c r="WO1" s="25">
        <v>23</v>
      </c>
      <c r="WP1" s="24" t="s">
        <v>39</v>
      </c>
      <c r="WQ1" s="25">
        <v>24</v>
      </c>
      <c r="WR1" s="24" t="s">
        <v>39</v>
      </c>
      <c r="WS1" s="25">
        <v>24</v>
      </c>
      <c r="WT1" s="24" t="s">
        <v>39</v>
      </c>
      <c r="WU1" s="25">
        <v>25</v>
      </c>
      <c r="WV1" s="24" t="s">
        <v>39</v>
      </c>
      <c r="WW1" s="25">
        <v>25</v>
      </c>
      <c r="WX1" s="24" t="s">
        <v>39</v>
      </c>
      <c r="WY1" s="25">
        <v>26</v>
      </c>
      <c r="WZ1" s="24" t="s">
        <v>39</v>
      </c>
      <c r="XA1" s="25">
        <v>26</v>
      </c>
      <c r="XB1" s="24" t="s">
        <v>39</v>
      </c>
      <c r="XC1" s="25">
        <v>27</v>
      </c>
      <c r="XD1" s="24" t="s">
        <v>39</v>
      </c>
      <c r="XE1" s="25">
        <v>27</v>
      </c>
      <c r="XF1" s="24" t="s">
        <v>39</v>
      </c>
      <c r="XG1" s="25">
        <v>28</v>
      </c>
      <c r="XH1" s="24" t="s">
        <v>39</v>
      </c>
      <c r="XI1" s="25">
        <v>28</v>
      </c>
      <c r="XJ1" s="24" t="s">
        <v>39</v>
      </c>
      <c r="XK1" s="25">
        <v>29</v>
      </c>
      <c r="XL1" s="24" t="s">
        <v>39</v>
      </c>
      <c r="XM1" s="25">
        <v>23</v>
      </c>
      <c r="XN1" s="24" t="s">
        <v>39</v>
      </c>
      <c r="XO1" s="25">
        <v>24</v>
      </c>
      <c r="XP1" s="24" t="s">
        <v>39</v>
      </c>
      <c r="XQ1" s="25">
        <v>24</v>
      </c>
      <c r="XR1" s="24" t="s">
        <v>39</v>
      </c>
      <c r="XS1" s="25">
        <v>25</v>
      </c>
      <c r="XT1" s="24" t="s">
        <v>39</v>
      </c>
      <c r="XU1" s="25">
        <v>25</v>
      </c>
      <c r="XV1" s="24" t="s">
        <v>39</v>
      </c>
      <c r="XW1" s="25">
        <v>26</v>
      </c>
      <c r="XX1" s="24" t="s">
        <v>39</v>
      </c>
      <c r="XY1" s="25">
        <v>26</v>
      </c>
      <c r="XZ1" s="24" t="s">
        <v>39</v>
      </c>
      <c r="YA1" s="25">
        <v>27</v>
      </c>
      <c r="YB1" s="24" t="s">
        <v>39</v>
      </c>
      <c r="YC1" s="25">
        <v>27</v>
      </c>
      <c r="YD1" s="24" t="s">
        <v>39</v>
      </c>
      <c r="YE1" s="25">
        <v>28</v>
      </c>
      <c r="YF1" s="24" t="s">
        <v>39</v>
      </c>
      <c r="YG1" s="25">
        <v>28</v>
      </c>
      <c r="YH1" s="24" t="s">
        <v>39</v>
      </c>
      <c r="YI1" s="25">
        <v>29</v>
      </c>
      <c r="YJ1" s="24" t="s">
        <v>39</v>
      </c>
      <c r="YK1" s="25">
        <v>29</v>
      </c>
      <c r="YL1" s="24" t="s">
        <v>39</v>
      </c>
      <c r="YM1" s="25">
        <v>30</v>
      </c>
      <c r="YN1" s="24" t="s">
        <v>39</v>
      </c>
      <c r="YO1" s="25">
        <v>24</v>
      </c>
      <c r="YP1" s="24" t="s">
        <v>39</v>
      </c>
      <c r="YQ1" s="25">
        <v>25</v>
      </c>
      <c r="YR1" s="24" t="s">
        <v>39</v>
      </c>
      <c r="YS1" s="25">
        <v>25</v>
      </c>
      <c r="YT1" s="24" t="s">
        <v>39</v>
      </c>
      <c r="YU1" s="25">
        <v>26</v>
      </c>
      <c r="YV1" s="24" t="s">
        <v>39</v>
      </c>
      <c r="YW1" s="25">
        <v>26</v>
      </c>
      <c r="YX1" s="24" t="s">
        <v>39</v>
      </c>
      <c r="YY1" s="25">
        <v>27</v>
      </c>
      <c r="YZ1" s="24" t="s">
        <v>39</v>
      </c>
      <c r="ZA1" s="25">
        <v>27</v>
      </c>
      <c r="ZB1" s="24" t="s">
        <v>39</v>
      </c>
      <c r="ZC1" s="25">
        <v>28</v>
      </c>
      <c r="ZD1" s="24" t="s">
        <v>39</v>
      </c>
      <c r="ZE1" s="25">
        <v>28</v>
      </c>
      <c r="ZF1" s="24" t="s">
        <v>39</v>
      </c>
      <c r="ZG1" s="25">
        <v>29</v>
      </c>
      <c r="ZH1" s="24" t="s">
        <v>39</v>
      </c>
      <c r="ZI1" s="25">
        <v>29</v>
      </c>
      <c r="ZJ1" s="24" t="s">
        <v>39</v>
      </c>
      <c r="ZK1" s="25">
        <v>30</v>
      </c>
      <c r="ZL1" s="24" t="s">
        <v>39</v>
      </c>
      <c r="ZM1" s="25">
        <v>30</v>
      </c>
      <c r="ZN1" s="24" t="s">
        <v>39</v>
      </c>
      <c r="ZO1" s="25">
        <v>31</v>
      </c>
      <c r="ZP1" s="24" t="s">
        <v>39</v>
      </c>
      <c r="ZQ1" s="25">
        <v>25</v>
      </c>
      <c r="ZR1" s="24" t="s">
        <v>39</v>
      </c>
      <c r="ZS1" s="25">
        <v>26</v>
      </c>
      <c r="ZT1" s="24" t="s">
        <v>39</v>
      </c>
      <c r="ZU1" s="25">
        <v>26</v>
      </c>
      <c r="ZV1" s="24" t="s">
        <v>39</v>
      </c>
    </row>
    <row r="2" ht="50" customHeight="1" spans="1:698">
      <c r="A2" s="30" t="s">
        <v>72</v>
      </c>
      <c r="B2" s="31">
        <v>800</v>
      </c>
      <c r="C2" s="30" t="s">
        <v>73</v>
      </c>
      <c r="D2" s="31">
        <v>80000</v>
      </c>
      <c r="E2" s="32" t="s">
        <v>74</v>
      </c>
      <c r="F2" s="33">
        <v>19800</v>
      </c>
      <c r="G2" s="34" t="s">
        <v>75</v>
      </c>
      <c r="H2" s="33">
        <v>200</v>
      </c>
      <c r="I2" s="34" t="s">
        <v>76</v>
      </c>
      <c r="J2" s="33">
        <v>1000</v>
      </c>
      <c r="K2" s="34" t="s">
        <v>77</v>
      </c>
      <c r="L2" s="33">
        <v>2100</v>
      </c>
      <c r="M2" s="35" t="s">
        <v>78</v>
      </c>
      <c r="N2" s="31">
        <v>0</v>
      </c>
      <c r="O2" s="34" t="s">
        <v>79</v>
      </c>
      <c r="P2" s="33">
        <v>1400</v>
      </c>
      <c r="Q2" s="35" t="s">
        <v>80</v>
      </c>
      <c r="R2" s="31">
        <v>4600</v>
      </c>
      <c r="S2" s="34" t="s">
        <v>81</v>
      </c>
      <c r="T2" s="33">
        <v>120</v>
      </c>
      <c r="U2" s="87" t="s">
        <v>82</v>
      </c>
      <c r="V2" s="36">
        <v>1.1</v>
      </c>
      <c r="W2" s="36"/>
      <c r="X2" s="36"/>
      <c r="Y2" s="36"/>
      <c r="Z2" s="36"/>
      <c r="AA2" s="37" t="s">
        <v>83</v>
      </c>
      <c r="AB2" s="33">
        <v>5000</v>
      </c>
      <c r="AC2" s="37" t="s">
        <v>84</v>
      </c>
      <c r="AD2" s="33">
        <v>10000</v>
      </c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</row>
    <row r="3" ht="50" customHeight="1" spans="1:698">
      <c r="A3" s="35" t="s">
        <v>85</v>
      </c>
      <c r="B3" s="31">
        <v>1200</v>
      </c>
      <c r="C3" s="30" t="s">
        <v>86</v>
      </c>
      <c r="D3" s="31">
        <v>9600</v>
      </c>
      <c r="E3" s="34" t="s">
        <v>87</v>
      </c>
      <c r="F3" s="33">
        <v>38500</v>
      </c>
      <c r="G3" s="34" t="s">
        <v>88</v>
      </c>
      <c r="H3" s="33">
        <v>300</v>
      </c>
      <c r="I3" s="34" t="s">
        <v>89</v>
      </c>
      <c r="J3" s="33">
        <v>1200</v>
      </c>
      <c r="K3" s="34" t="s">
        <v>90</v>
      </c>
      <c r="L3" s="33">
        <v>2500</v>
      </c>
      <c r="M3" s="35" t="s">
        <v>91</v>
      </c>
      <c r="N3" s="31">
        <v>800</v>
      </c>
      <c r="O3" s="34" t="s">
        <v>92</v>
      </c>
      <c r="P3" s="33">
        <v>1600</v>
      </c>
      <c r="Q3" s="35" t="s">
        <v>93</v>
      </c>
      <c r="R3" s="31">
        <v>8900</v>
      </c>
      <c r="S3" s="34" t="s">
        <v>94</v>
      </c>
      <c r="T3" s="33">
        <v>180</v>
      </c>
      <c r="U3" s="87" t="s">
        <v>95</v>
      </c>
      <c r="V3" s="36"/>
      <c r="W3" s="36"/>
      <c r="X3" s="36"/>
      <c r="Y3" s="36"/>
      <c r="Z3" s="36"/>
      <c r="AA3" s="37" t="s">
        <v>96</v>
      </c>
      <c r="AB3" s="33">
        <v>30000</v>
      </c>
      <c r="AC3" s="37" t="s">
        <v>97</v>
      </c>
      <c r="AD3" s="33">
        <v>20000</v>
      </c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  <c r="NK3" s="36"/>
      <c r="NL3" s="36"/>
      <c r="NM3" s="36"/>
      <c r="NN3" s="36"/>
      <c r="NO3" s="36"/>
      <c r="NP3" s="36"/>
      <c r="NQ3" s="36"/>
      <c r="NR3" s="36"/>
      <c r="NS3" s="36"/>
      <c r="NT3" s="36"/>
      <c r="NU3" s="36"/>
      <c r="NV3" s="36"/>
      <c r="NW3" s="36"/>
      <c r="NX3" s="36"/>
      <c r="NY3" s="36"/>
      <c r="NZ3" s="36"/>
      <c r="OA3" s="36"/>
      <c r="OB3" s="36"/>
      <c r="OC3" s="36"/>
      <c r="OD3" s="36"/>
      <c r="OE3" s="36"/>
      <c r="OF3" s="36"/>
      <c r="OG3" s="36"/>
      <c r="OH3" s="36"/>
      <c r="OI3" s="36"/>
      <c r="OJ3" s="36"/>
      <c r="OK3" s="36"/>
      <c r="OL3" s="36"/>
      <c r="OM3" s="36"/>
      <c r="ON3" s="36"/>
      <c r="OO3" s="36"/>
      <c r="OP3" s="36"/>
      <c r="OQ3" s="36"/>
      <c r="OR3" s="36"/>
      <c r="OS3" s="36"/>
      <c r="OT3" s="36"/>
      <c r="OU3" s="36"/>
      <c r="OV3" s="36"/>
      <c r="OW3" s="36"/>
      <c r="OX3" s="36"/>
      <c r="OY3" s="36"/>
      <c r="OZ3" s="36"/>
      <c r="PA3" s="36"/>
      <c r="PB3" s="36"/>
      <c r="PC3" s="36"/>
      <c r="PD3" s="36"/>
      <c r="PE3" s="36"/>
      <c r="PF3" s="36"/>
      <c r="PG3" s="36"/>
      <c r="PH3" s="36"/>
      <c r="PI3" s="36"/>
      <c r="PJ3" s="36"/>
      <c r="PK3" s="36"/>
      <c r="PL3" s="36"/>
      <c r="PM3" s="36"/>
      <c r="PN3" s="36"/>
      <c r="PO3" s="36"/>
      <c r="PP3" s="36"/>
      <c r="PQ3" s="36"/>
      <c r="PR3" s="36"/>
      <c r="PS3" s="36"/>
      <c r="PT3" s="36"/>
      <c r="PU3" s="36"/>
      <c r="PV3" s="36"/>
      <c r="PW3" s="36"/>
      <c r="PX3" s="36"/>
      <c r="PY3" s="36"/>
      <c r="PZ3" s="36"/>
      <c r="QA3" s="36"/>
      <c r="QB3" s="36"/>
      <c r="QC3" s="36"/>
      <c r="QD3" s="36"/>
      <c r="QE3" s="36"/>
      <c r="QF3" s="36"/>
      <c r="QG3" s="36"/>
      <c r="QH3" s="36"/>
      <c r="QI3" s="36"/>
      <c r="QJ3" s="36"/>
      <c r="QK3" s="36"/>
      <c r="QL3" s="36"/>
      <c r="QM3" s="36"/>
      <c r="QN3" s="36"/>
      <c r="QO3" s="36"/>
      <c r="QP3" s="36"/>
      <c r="QQ3" s="36"/>
      <c r="QR3" s="36"/>
      <c r="QS3" s="36"/>
      <c r="QT3" s="36"/>
      <c r="QU3" s="36"/>
      <c r="QV3" s="36"/>
      <c r="QW3" s="36"/>
      <c r="QX3" s="36"/>
      <c r="QY3" s="36"/>
      <c r="QZ3" s="36"/>
      <c r="RA3" s="36"/>
      <c r="RB3" s="36"/>
      <c r="RC3" s="36"/>
      <c r="RD3" s="36"/>
      <c r="RE3" s="36"/>
      <c r="RF3" s="36"/>
      <c r="RG3" s="36"/>
      <c r="RH3" s="36"/>
      <c r="RI3" s="36"/>
      <c r="RJ3" s="36"/>
      <c r="RK3" s="36"/>
      <c r="RL3" s="36"/>
      <c r="RM3" s="36"/>
      <c r="RN3" s="36"/>
      <c r="RO3" s="36"/>
      <c r="RP3" s="36"/>
      <c r="RQ3" s="36"/>
      <c r="RR3" s="36"/>
      <c r="RS3" s="36"/>
      <c r="RT3" s="36"/>
      <c r="RU3" s="36"/>
      <c r="RV3" s="36"/>
      <c r="RW3" s="36"/>
      <c r="RX3" s="36"/>
      <c r="RY3" s="36"/>
      <c r="RZ3" s="36"/>
      <c r="SA3" s="36"/>
      <c r="SB3" s="36"/>
      <c r="SC3" s="36"/>
      <c r="SD3" s="36"/>
      <c r="SE3" s="36"/>
      <c r="SF3" s="36"/>
      <c r="SG3" s="36"/>
      <c r="SH3" s="36"/>
      <c r="SI3" s="36"/>
      <c r="SJ3" s="36"/>
      <c r="SK3" s="36"/>
      <c r="SL3" s="36"/>
      <c r="SM3" s="36"/>
      <c r="SN3" s="36"/>
      <c r="SO3" s="36"/>
      <c r="SP3" s="36"/>
      <c r="SQ3" s="36"/>
      <c r="SR3" s="36"/>
      <c r="SS3" s="36"/>
      <c r="ST3" s="36"/>
      <c r="SU3" s="36"/>
      <c r="SV3" s="36"/>
      <c r="SW3" s="36"/>
      <c r="SX3" s="36"/>
      <c r="SY3" s="36"/>
      <c r="SZ3" s="36"/>
      <c r="TA3" s="36"/>
      <c r="TB3" s="36"/>
      <c r="TC3" s="36"/>
      <c r="TD3" s="36"/>
      <c r="TE3" s="36"/>
      <c r="TF3" s="36"/>
      <c r="TG3" s="36"/>
      <c r="TH3" s="36"/>
      <c r="TI3" s="36"/>
      <c r="TJ3" s="36"/>
      <c r="TK3" s="36"/>
      <c r="TL3" s="36"/>
      <c r="TM3" s="36"/>
      <c r="TN3" s="36"/>
      <c r="TO3" s="36"/>
      <c r="TP3" s="36"/>
      <c r="TQ3" s="36"/>
      <c r="TR3" s="36"/>
      <c r="TS3" s="36"/>
      <c r="TT3" s="36"/>
      <c r="TU3" s="36"/>
      <c r="TV3" s="36"/>
      <c r="TW3" s="36"/>
      <c r="TX3" s="36"/>
      <c r="TY3" s="36"/>
      <c r="TZ3" s="36"/>
      <c r="UA3" s="36"/>
      <c r="UB3" s="36"/>
      <c r="UC3" s="36"/>
      <c r="UD3" s="36"/>
      <c r="UE3" s="36"/>
      <c r="UF3" s="36"/>
      <c r="UG3" s="36"/>
      <c r="UH3" s="36"/>
      <c r="UI3" s="36"/>
      <c r="UJ3" s="36"/>
      <c r="UK3" s="36"/>
      <c r="UL3" s="36"/>
      <c r="UM3" s="36"/>
      <c r="UN3" s="36"/>
      <c r="UO3" s="36"/>
      <c r="UP3" s="36"/>
      <c r="UQ3" s="36"/>
      <c r="UR3" s="36"/>
      <c r="US3" s="36"/>
      <c r="UT3" s="36"/>
      <c r="UU3" s="36"/>
      <c r="UV3" s="36"/>
      <c r="UW3" s="36"/>
      <c r="UX3" s="36"/>
      <c r="UY3" s="36"/>
      <c r="UZ3" s="36"/>
      <c r="VA3" s="36"/>
      <c r="VB3" s="36"/>
      <c r="VC3" s="36"/>
      <c r="VD3" s="36"/>
      <c r="VE3" s="36"/>
      <c r="VF3" s="36"/>
      <c r="VG3" s="36"/>
      <c r="VH3" s="36"/>
      <c r="VI3" s="36"/>
      <c r="VJ3" s="36"/>
      <c r="VK3" s="36"/>
      <c r="VL3" s="36"/>
      <c r="VM3" s="36"/>
      <c r="VN3" s="36"/>
      <c r="VO3" s="36"/>
      <c r="VP3" s="36"/>
      <c r="VQ3" s="36"/>
      <c r="VR3" s="36"/>
      <c r="VS3" s="36"/>
      <c r="VT3" s="36"/>
      <c r="VU3" s="36"/>
      <c r="VV3" s="36"/>
      <c r="VW3" s="36"/>
      <c r="VX3" s="36"/>
      <c r="VY3" s="36"/>
      <c r="VZ3" s="36"/>
      <c r="WA3" s="36"/>
      <c r="WB3" s="36"/>
      <c r="WC3" s="36"/>
      <c r="WD3" s="36"/>
      <c r="WE3" s="36"/>
      <c r="WF3" s="36"/>
      <c r="WG3" s="36"/>
      <c r="WH3" s="36"/>
      <c r="WI3" s="36"/>
      <c r="WJ3" s="36"/>
      <c r="WK3" s="36"/>
      <c r="WL3" s="36"/>
      <c r="WM3" s="36"/>
      <c r="WN3" s="36"/>
      <c r="WO3" s="36"/>
      <c r="WP3" s="36"/>
      <c r="WQ3" s="36"/>
      <c r="WR3" s="36"/>
      <c r="WS3" s="36"/>
      <c r="WT3" s="36"/>
      <c r="WU3" s="36"/>
      <c r="WV3" s="36"/>
      <c r="WW3" s="36"/>
      <c r="WX3" s="36"/>
      <c r="WY3" s="36"/>
      <c r="WZ3" s="36"/>
      <c r="XA3" s="36"/>
      <c r="XB3" s="36"/>
      <c r="XC3" s="36"/>
      <c r="XD3" s="36"/>
      <c r="XE3" s="36"/>
      <c r="XF3" s="36"/>
      <c r="XG3" s="36"/>
      <c r="XH3" s="36"/>
      <c r="XI3" s="36"/>
      <c r="XJ3" s="36"/>
      <c r="XK3" s="36"/>
      <c r="XL3" s="36"/>
      <c r="XM3" s="36"/>
      <c r="XN3" s="36"/>
      <c r="XO3" s="36"/>
      <c r="XP3" s="36"/>
      <c r="XQ3" s="36"/>
      <c r="XR3" s="36"/>
      <c r="XS3" s="36"/>
      <c r="XT3" s="36"/>
      <c r="XU3" s="36"/>
      <c r="XV3" s="36"/>
      <c r="XW3" s="36"/>
      <c r="XX3" s="36"/>
      <c r="XY3" s="36"/>
      <c r="XZ3" s="36"/>
      <c r="YA3" s="36"/>
      <c r="YB3" s="36"/>
      <c r="YC3" s="36"/>
      <c r="YD3" s="36"/>
      <c r="YE3" s="36"/>
      <c r="YF3" s="36"/>
      <c r="YG3" s="36"/>
      <c r="YH3" s="36"/>
      <c r="YI3" s="36"/>
      <c r="YJ3" s="36"/>
      <c r="YK3" s="36"/>
      <c r="YL3" s="36"/>
      <c r="YM3" s="36"/>
      <c r="YN3" s="36"/>
      <c r="YO3" s="36"/>
      <c r="YP3" s="36"/>
      <c r="YQ3" s="36"/>
      <c r="YR3" s="36"/>
      <c r="YS3" s="36"/>
      <c r="YT3" s="36"/>
      <c r="YU3" s="36"/>
      <c r="YV3" s="36"/>
      <c r="YW3" s="36"/>
      <c r="YX3" s="36"/>
      <c r="YY3" s="36"/>
      <c r="YZ3" s="36"/>
      <c r="ZA3" s="36"/>
      <c r="ZB3" s="36"/>
      <c r="ZC3" s="36"/>
      <c r="ZD3" s="36"/>
      <c r="ZE3" s="36"/>
      <c r="ZF3" s="36"/>
      <c r="ZG3" s="36"/>
      <c r="ZH3" s="36"/>
      <c r="ZI3" s="36"/>
      <c r="ZJ3" s="36"/>
      <c r="ZK3" s="36"/>
      <c r="ZL3" s="36"/>
      <c r="ZM3" s="36"/>
      <c r="ZN3" s="36"/>
      <c r="ZO3" s="36"/>
      <c r="ZP3" s="36"/>
      <c r="ZQ3" s="36"/>
      <c r="ZR3" s="36"/>
      <c r="ZS3" s="36"/>
      <c r="ZT3" s="36"/>
      <c r="ZU3" s="36"/>
      <c r="ZV3" s="36"/>
    </row>
    <row r="4" ht="50" customHeight="1" spans="1:698">
      <c r="A4" s="35" t="s">
        <v>98</v>
      </c>
      <c r="B4" s="31">
        <v>1500</v>
      </c>
      <c r="C4" s="38" t="s">
        <v>99</v>
      </c>
      <c r="D4" s="31">
        <v>5500</v>
      </c>
      <c r="E4" s="34" t="s">
        <v>100</v>
      </c>
      <c r="F4" s="33">
        <v>58000</v>
      </c>
      <c r="G4" s="34" t="s">
        <v>101</v>
      </c>
      <c r="H4" s="33">
        <v>400</v>
      </c>
      <c r="I4" s="34" t="s">
        <v>102</v>
      </c>
      <c r="J4" s="33">
        <v>1800</v>
      </c>
      <c r="K4" s="34" t="s">
        <v>103</v>
      </c>
      <c r="L4" s="33">
        <v>2900</v>
      </c>
      <c r="M4" s="35" t="s">
        <v>104</v>
      </c>
      <c r="N4" s="31">
        <v>3200</v>
      </c>
      <c r="O4" s="34" t="s">
        <v>105</v>
      </c>
      <c r="P4" s="33">
        <v>800</v>
      </c>
      <c r="Q4" s="35" t="s">
        <v>106</v>
      </c>
      <c r="R4" s="31">
        <v>21000</v>
      </c>
      <c r="S4" s="34"/>
      <c r="T4" s="33">
        <v>0</v>
      </c>
      <c r="U4" s="87" t="s">
        <v>107</v>
      </c>
      <c r="V4" s="36"/>
      <c r="W4" s="36"/>
      <c r="X4" s="36"/>
      <c r="Y4" s="36"/>
      <c r="Z4" s="36"/>
      <c r="AA4" s="37" t="s">
        <v>108</v>
      </c>
      <c r="AB4" s="33">
        <v>80000</v>
      </c>
      <c r="AC4" s="37" t="s">
        <v>109</v>
      </c>
      <c r="AD4" s="33">
        <v>2000</v>
      </c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</row>
    <row r="5" ht="50" customHeight="1" spans="1:698">
      <c r="A5" s="35" t="s">
        <v>110</v>
      </c>
      <c r="B5" s="31">
        <v>2200</v>
      </c>
      <c r="C5" s="30" t="s">
        <v>111</v>
      </c>
      <c r="D5" s="31">
        <v>3000</v>
      </c>
      <c r="E5" s="34" t="s">
        <v>112</v>
      </c>
      <c r="F5" s="33">
        <v>68000</v>
      </c>
      <c r="G5" s="34" t="s">
        <v>113</v>
      </c>
      <c r="H5" s="33">
        <v>1800</v>
      </c>
      <c r="I5" s="34" t="s">
        <v>114</v>
      </c>
      <c r="J5" s="33">
        <v>2000</v>
      </c>
      <c r="K5" s="34" t="s">
        <v>115</v>
      </c>
      <c r="L5" s="33">
        <v>4500</v>
      </c>
      <c r="M5" s="35" t="s">
        <v>116</v>
      </c>
      <c r="N5" s="31">
        <v>8000</v>
      </c>
      <c r="O5" s="34" t="s">
        <v>117</v>
      </c>
      <c r="P5" s="33">
        <v>1800</v>
      </c>
      <c r="Q5" s="35" t="s">
        <v>118</v>
      </c>
      <c r="R5" s="31">
        <v>3900</v>
      </c>
      <c r="S5" s="34"/>
      <c r="T5" s="36"/>
      <c r="U5" s="87" t="s">
        <v>119</v>
      </c>
      <c r="V5" s="36"/>
      <c r="W5" s="36"/>
      <c r="X5" s="36"/>
      <c r="Y5" s="36"/>
      <c r="Z5" s="36"/>
      <c r="AA5" s="37" t="s">
        <v>120</v>
      </c>
      <c r="AB5" s="33">
        <v>100000</v>
      </c>
      <c r="AC5" s="37" t="s">
        <v>121</v>
      </c>
      <c r="AD5" s="33">
        <v>25000</v>
      </c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</row>
    <row r="6" ht="50" customHeight="1" spans="1:698">
      <c r="A6" s="35" t="s">
        <v>122</v>
      </c>
      <c r="B6" s="31">
        <v>2700</v>
      </c>
      <c r="C6" s="30" t="s">
        <v>123</v>
      </c>
      <c r="D6" s="31">
        <v>2500</v>
      </c>
      <c r="E6" s="34" t="s">
        <v>124</v>
      </c>
      <c r="F6" s="33">
        <v>33500</v>
      </c>
      <c r="G6" s="34" t="s">
        <v>125</v>
      </c>
      <c r="H6" s="33">
        <v>3800</v>
      </c>
      <c r="I6" s="34" t="s">
        <v>126</v>
      </c>
      <c r="J6" s="33">
        <v>4000</v>
      </c>
      <c r="K6" s="34" t="s">
        <v>127</v>
      </c>
      <c r="L6" s="33">
        <v>6000</v>
      </c>
      <c r="M6" s="35" t="s">
        <v>128</v>
      </c>
      <c r="N6" s="31">
        <v>18000</v>
      </c>
      <c r="O6" s="34" t="s">
        <v>129</v>
      </c>
      <c r="P6" s="33">
        <v>100</v>
      </c>
      <c r="Q6" s="35" t="s">
        <v>130</v>
      </c>
      <c r="R6" s="31">
        <v>7800</v>
      </c>
      <c r="S6" s="36"/>
      <c r="T6" s="36"/>
      <c r="U6" s="36"/>
      <c r="V6" s="36"/>
      <c r="W6" s="36"/>
      <c r="X6" s="36"/>
      <c r="Y6" s="36"/>
      <c r="Z6" s="36"/>
      <c r="AA6" s="37" t="s">
        <v>131</v>
      </c>
      <c r="AB6" s="33">
        <v>150000</v>
      </c>
      <c r="AC6" s="37" t="s">
        <v>132</v>
      </c>
      <c r="AD6" s="33">
        <v>35000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</row>
    <row r="7" ht="50" customHeight="1" spans="1:698">
      <c r="A7" s="35" t="s">
        <v>133</v>
      </c>
      <c r="B7" s="31">
        <v>3200</v>
      </c>
      <c r="C7" s="30" t="s">
        <v>134</v>
      </c>
      <c r="D7" s="31">
        <v>3000</v>
      </c>
      <c r="E7" s="34"/>
      <c r="F7" s="36"/>
      <c r="G7" s="34" t="s">
        <v>135</v>
      </c>
      <c r="H7" s="33"/>
      <c r="I7" s="34" t="s">
        <v>136</v>
      </c>
      <c r="J7" s="33">
        <v>600</v>
      </c>
      <c r="K7" s="34" t="s">
        <v>137</v>
      </c>
      <c r="L7" s="33">
        <v>1200</v>
      </c>
      <c r="M7" s="37"/>
      <c r="N7" s="37"/>
      <c r="O7" s="34"/>
      <c r="P7" s="33">
        <v>50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7" t="s">
        <v>138</v>
      </c>
      <c r="AB7" s="33" t="s">
        <v>139</v>
      </c>
      <c r="AC7" s="37" t="s">
        <v>140</v>
      </c>
      <c r="AD7" s="33">
        <v>50000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</row>
    <row r="8" ht="50" customHeight="1" spans="1:698">
      <c r="A8" s="35" t="s">
        <v>141</v>
      </c>
      <c r="B8" s="31">
        <v>4500</v>
      </c>
      <c r="C8" s="30" t="s">
        <v>142</v>
      </c>
      <c r="D8" s="31">
        <v>1500</v>
      </c>
      <c r="E8" s="39"/>
      <c r="F8" s="36"/>
      <c r="G8" s="34" t="s">
        <v>143</v>
      </c>
      <c r="H8" s="33"/>
      <c r="I8" s="34" t="s">
        <v>144</v>
      </c>
      <c r="J8" s="33">
        <v>700</v>
      </c>
      <c r="K8" s="40" t="s">
        <v>145</v>
      </c>
      <c r="L8" s="33">
        <v>800</v>
      </c>
      <c r="M8" s="37"/>
      <c r="N8" s="37"/>
      <c r="O8" s="34"/>
      <c r="P8" s="33"/>
      <c r="Q8" s="36"/>
      <c r="R8" s="36"/>
      <c r="S8" s="36"/>
      <c r="T8" s="36"/>
      <c r="U8" s="36"/>
      <c r="V8" s="36"/>
      <c r="W8" s="36"/>
      <c r="X8" s="36"/>
      <c r="Y8" s="36"/>
      <c r="Z8" s="36"/>
      <c r="AA8" s="37"/>
      <c r="AB8" s="33"/>
      <c r="AC8" s="37" t="s">
        <v>146</v>
      </c>
      <c r="AD8" s="33">
        <v>50000</v>
      </c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</row>
    <row r="9" ht="50" customHeight="1" spans="1:698">
      <c r="A9" s="35" t="s">
        <v>147</v>
      </c>
      <c r="B9" s="31">
        <v>5000</v>
      </c>
      <c r="C9" s="34"/>
      <c r="D9" s="33"/>
      <c r="E9" s="39"/>
      <c r="F9" s="36"/>
      <c r="G9" s="34" t="s">
        <v>148</v>
      </c>
      <c r="H9" s="33">
        <v>500</v>
      </c>
      <c r="I9" s="34" t="s">
        <v>149</v>
      </c>
      <c r="J9" s="33">
        <v>1200</v>
      </c>
      <c r="K9" s="36"/>
      <c r="L9" s="33"/>
      <c r="M9" s="37"/>
      <c r="N9" s="37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3"/>
      <c r="AC9" s="36"/>
      <c r="AD9" s="33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</row>
    <row r="10" ht="50" customHeight="1" spans="1:698">
      <c r="A10" s="35" t="s">
        <v>150</v>
      </c>
      <c r="B10" s="31">
        <v>4000</v>
      </c>
      <c r="C10" s="34"/>
      <c r="D10" s="33"/>
      <c r="E10" s="39"/>
      <c r="F10" s="36"/>
      <c r="G10" s="39"/>
      <c r="H10" s="36"/>
      <c r="I10" s="34" t="s">
        <v>151</v>
      </c>
      <c r="J10" s="33">
        <v>1800</v>
      </c>
      <c r="K10" s="36"/>
      <c r="L10" s="33"/>
      <c r="M10" s="37"/>
      <c r="N10" s="37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3"/>
      <c r="AC10" s="36"/>
      <c r="AD10" s="33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</row>
    <row r="11" ht="50" customHeight="1" spans="1:698">
      <c r="A11" s="35" t="s">
        <v>152</v>
      </c>
      <c r="B11" s="31">
        <v>9500</v>
      </c>
      <c r="C11" s="34"/>
      <c r="D11" s="33"/>
      <c r="E11" s="39"/>
      <c r="F11" s="36"/>
      <c r="G11" s="39"/>
      <c r="H11" s="36"/>
      <c r="I11" s="34"/>
      <c r="J11" s="33"/>
      <c r="K11" s="36"/>
      <c r="L11" s="33"/>
      <c r="M11" s="37"/>
      <c r="N11" s="37"/>
      <c r="O11" s="34" t="s">
        <v>153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3"/>
      <c r="AC11" s="36"/>
      <c r="AD11" s="33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</row>
    <row r="12" ht="50" customHeight="1" spans="1:698">
      <c r="A12" s="35" t="s">
        <v>154</v>
      </c>
      <c r="B12" s="31">
        <v>15000</v>
      </c>
      <c r="C12" s="34"/>
      <c r="D12" s="33"/>
      <c r="F12" s="41"/>
      <c r="H12" s="41"/>
      <c r="I12" s="41"/>
      <c r="J12" s="41"/>
      <c r="K12" s="41"/>
      <c r="L12" s="41"/>
      <c r="M12" s="42" t="s">
        <v>155</v>
      </c>
      <c r="N12" s="42">
        <v>1000</v>
      </c>
      <c r="O12" s="41"/>
      <c r="P12" s="41"/>
      <c r="Q12" s="41"/>
      <c r="R12" s="41"/>
      <c r="S12" s="41"/>
      <c r="T12" s="41"/>
      <c r="U12" s="41"/>
      <c r="V12" s="41"/>
    </row>
    <row r="13" ht="50" customHeight="1" spans="1:698">
      <c r="A13" s="35" t="s">
        <v>156</v>
      </c>
      <c r="B13" s="31">
        <v>20000</v>
      </c>
      <c r="C13" s="34"/>
      <c r="D13" s="33"/>
      <c r="F13" s="41"/>
      <c r="H13" s="41"/>
      <c r="I13" s="41"/>
      <c r="J13" s="41"/>
      <c r="K13" s="41"/>
      <c r="L13" s="41"/>
      <c r="M13" s="42" t="s">
        <v>157</v>
      </c>
      <c r="N13" s="42">
        <v>1800</v>
      </c>
      <c r="O13" s="41"/>
      <c r="P13" s="41"/>
      <c r="Q13" s="41"/>
      <c r="R13" s="41"/>
      <c r="S13" s="41"/>
      <c r="T13" s="41"/>
      <c r="U13" s="41"/>
      <c r="V13" s="41"/>
    </row>
    <row r="14" ht="50" customHeight="1" spans="1:698">
      <c r="A14" s="35" t="s">
        <v>158</v>
      </c>
      <c r="B14" s="31">
        <v>45000</v>
      </c>
      <c r="C14" s="34"/>
      <c r="D14" s="33"/>
      <c r="F14" s="41"/>
      <c r="H14" s="41"/>
      <c r="I14" s="41"/>
      <c r="J14" s="41"/>
      <c r="K14" s="41"/>
      <c r="L14" s="41"/>
      <c r="M14" s="42" t="s">
        <v>159</v>
      </c>
      <c r="N14" s="42">
        <v>2400</v>
      </c>
      <c r="O14" s="41"/>
      <c r="P14" s="41"/>
      <c r="Q14" s="41"/>
      <c r="R14" s="41"/>
      <c r="S14" s="41"/>
      <c r="T14" s="41"/>
      <c r="U14" s="41"/>
      <c r="V14" s="41"/>
    </row>
    <row r="15" ht="50" customHeight="1" spans="1:698">
      <c r="A15" s="35" t="s">
        <v>160</v>
      </c>
      <c r="B15" s="31">
        <v>5000</v>
      </c>
      <c r="C15" s="34"/>
      <c r="D15" s="33"/>
      <c r="M15" s="42" t="s">
        <v>161</v>
      </c>
      <c r="N15" s="42">
        <v>6800</v>
      </c>
    </row>
    <row r="16" ht="50" customHeight="1" spans="1:698">
      <c r="A16" s="35" t="s">
        <v>162</v>
      </c>
      <c r="B16" s="31">
        <v>6000</v>
      </c>
      <c r="C16" s="34"/>
      <c r="D16" s="33"/>
      <c r="M16" s="42" t="s">
        <v>163</v>
      </c>
      <c r="N16" s="42" t="s">
        <v>164</v>
      </c>
    </row>
    <row r="17" ht="50" customHeight="1" spans="1:14">
      <c r="A17" s="35" t="s">
        <v>165</v>
      </c>
      <c r="B17" s="31">
        <v>6500</v>
      </c>
      <c r="C17" s="34"/>
      <c r="D17" s="33"/>
      <c r="M17" s="42" t="s">
        <v>166</v>
      </c>
      <c r="N17" s="42" t="s">
        <v>167</v>
      </c>
    </row>
    <row r="18" ht="50" customHeight="1" spans="1:14">
      <c r="A18" s="35" t="s">
        <v>168</v>
      </c>
      <c r="B18" s="31">
        <v>7500</v>
      </c>
      <c r="C18" s="34"/>
      <c r="D18" s="33"/>
      <c r="M18" s="42" t="s">
        <v>169</v>
      </c>
      <c r="N18" s="42" t="s">
        <v>170</v>
      </c>
    </row>
    <row r="19" ht="50" customHeight="1" spans="1:14">
      <c r="A19" s="35" t="s">
        <v>171</v>
      </c>
      <c r="B19" s="31">
        <v>9800</v>
      </c>
      <c r="C19" s="34"/>
      <c r="D19" s="39"/>
    </row>
    <row r="20" ht="50" customHeight="1" spans="1:14">
      <c r="A20" s="35" t="s">
        <v>172</v>
      </c>
      <c r="B20" s="31">
        <v>14500</v>
      </c>
    </row>
    <row r="21" ht="50" customHeight="1" spans="1:14">
      <c r="A21" s="35" t="s">
        <v>173</v>
      </c>
      <c r="B21" s="31">
        <v>48000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0000"/>
  </sheetPr>
  <dimension ref="A1:A8"/>
  <sheetViews>
    <sheetView showGridLines="0" topLeftCell="A7" workbookViewId="0">
      <selection activeCell="C15" sqref="C15:C19"/>
    </sheetView>
  </sheetViews>
  <sheetFormatPr defaultColWidth="9" defaultRowHeight="13.5" outlineLevelRow="7"/>
  <sheetData>
    <row r="1" ht="25.5" spans="1:1">
      <c r="A1" s="15" t="s">
        <v>174</v>
      </c>
    </row>
    <row r="2" ht="25.5" spans="1:1">
      <c r="A2" s="15" t="s">
        <v>175</v>
      </c>
    </row>
    <row r="3" ht="25.5" spans="1:1">
      <c r="A3" s="15" t="s">
        <v>176</v>
      </c>
    </row>
    <row r="4" ht="25.5" spans="1:1">
      <c r="A4" s="15" t="s">
        <v>177</v>
      </c>
    </row>
    <row r="5" ht="25.5" spans="1:1">
      <c r="A5" s="15" t="s">
        <v>178</v>
      </c>
    </row>
    <row r="6" ht="25.5" spans="1:1">
      <c r="A6" s="15" t="s">
        <v>179</v>
      </c>
    </row>
    <row r="7" ht="25.5" spans="1:1">
      <c r="A7" s="15"/>
    </row>
    <row r="8" ht="25.5" spans="1:1">
      <c r="A8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D18E"/>
  </sheetPr>
  <dimension ref="A1:D46"/>
  <sheetViews>
    <sheetView tabSelected="1" workbookViewId="0">
      <selection activeCell="A1" sqref="A1"/>
    </sheetView>
  </sheetViews>
  <sheetFormatPr defaultColWidth="9" defaultRowHeight="13.5" outlineLevelCol="3"/>
  <cols>
    <col min="1" max="1" width="23.375" customWidth="1"/>
    <col min="2" max="2" width="16.25" customWidth="1"/>
    <col min="3" max="3" width="52.625" customWidth="1"/>
  </cols>
  <sheetData>
    <row r="1" ht="30" spans="1:4">
      <c r="A1" s="1" t="s">
        <v>180</v>
      </c>
      <c r="B1" s="1" t="s">
        <v>181</v>
      </c>
      <c r="C1" s="1" t="s">
        <v>182</v>
      </c>
      <c r="D1" s="1" t="s">
        <v>183</v>
      </c>
    </row>
    <row r="2" ht="15" spans="1:4">
      <c r="A2" s="2" t="s">
        <v>184</v>
      </c>
      <c r="B2" s="2"/>
      <c r="C2" s="2"/>
      <c r="D2" s="2"/>
    </row>
    <row r="3" ht="99" spans="1:4">
      <c r="A3" s="3" t="s">
        <v>185</v>
      </c>
      <c r="B3" s="3" t="s">
        <v>186</v>
      </c>
      <c r="C3" s="3" t="s">
        <v>187</v>
      </c>
      <c r="D3" s="4">
        <v>650</v>
      </c>
    </row>
    <row r="4" ht="49.5" spans="1:4">
      <c r="A4" s="5" t="s">
        <v>188</v>
      </c>
      <c r="B4" s="5" t="s">
        <v>189</v>
      </c>
      <c r="C4" s="5" t="s">
        <v>190</v>
      </c>
      <c r="D4" s="6">
        <v>1299</v>
      </c>
    </row>
    <row r="5" ht="66" spans="1:4">
      <c r="A5" s="3" t="s">
        <v>191</v>
      </c>
      <c r="B5" s="3" t="s">
        <v>192</v>
      </c>
      <c r="C5" s="3" t="s">
        <v>193</v>
      </c>
      <c r="D5" s="4">
        <v>850</v>
      </c>
    </row>
    <row r="6" ht="49.5" spans="1:4">
      <c r="A6" s="5" t="s">
        <v>194</v>
      </c>
      <c r="B6" s="5" t="s">
        <v>195</v>
      </c>
      <c r="C6" s="5" t="s">
        <v>196</v>
      </c>
      <c r="D6" s="6">
        <v>135</v>
      </c>
    </row>
    <row r="7" ht="66" spans="1:4">
      <c r="A7" s="3" t="s">
        <v>197</v>
      </c>
      <c r="B7" s="3" t="s">
        <v>198</v>
      </c>
      <c r="C7" s="3" t="s">
        <v>199</v>
      </c>
      <c r="D7" s="4">
        <v>400</v>
      </c>
    </row>
    <row r="8" ht="49.5" spans="1:4">
      <c r="A8" s="5" t="s">
        <v>200</v>
      </c>
      <c r="B8" s="5" t="s">
        <v>201</v>
      </c>
      <c r="C8" s="5" t="s">
        <v>202</v>
      </c>
      <c r="D8" s="6">
        <v>620</v>
      </c>
    </row>
    <row r="9" ht="49.5" spans="1:4">
      <c r="A9" s="3" t="s">
        <v>203</v>
      </c>
      <c r="B9" s="3" t="s">
        <v>204</v>
      </c>
      <c r="C9" s="3" t="s">
        <v>205</v>
      </c>
      <c r="D9" s="4">
        <v>1500</v>
      </c>
    </row>
    <row r="10" ht="66" spans="1:4">
      <c r="A10" s="5" t="s">
        <v>206</v>
      </c>
      <c r="B10" s="5" t="s">
        <v>207</v>
      </c>
      <c r="C10" s="5" t="s">
        <v>208</v>
      </c>
      <c r="D10" s="6">
        <v>2500</v>
      </c>
    </row>
    <row r="11" ht="16.5" spans="1:4">
      <c r="A11" s="7"/>
      <c r="B11" s="7"/>
      <c r="C11" s="7"/>
      <c r="D11" s="8"/>
    </row>
    <row r="12" ht="15" spans="1:4">
      <c r="A12" s="9" t="s">
        <v>209</v>
      </c>
      <c r="B12" s="9"/>
      <c r="C12" s="9"/>
      <c r="D12" s="9"/>
    </row>
    <row r="13" ht="33" spans="1:4">
      <c r="A13" s="3" t="s">
        <v>210</v>
      </c>
      <c r="B13" s="3" t="s">
        <v>211</v>
      </c>
      <c r="C13" s="3" t="s">
        <v>212</v>
      </c>
      <c r="D13" s="4">
        <v>3200</v>
      </c>
    </row>
    <row r="14" ht="33" spans="1:4">
      <c r="A14" s="5" t="s">
        <v>213</v>
      </c>
      <c r="B14" s="5" t="s">
        <v>214</v>
      </c>
      <c r="C14" s="5" t="s">
        <v>215</v>
      </c>
      <c r="D14" s="6">
        <v>3500</v>
      </c>
    </row>
    <row r="15" ht="33" spans="1:4">
      <c r="A15" s="3" t="s">
        <v>216</v>
      </c>
      <c r="B15" s="3" t="s">
        <v>217</v>
      </c>
      <c r="C15" s="3" t="s">
        <v>218</v>
      </c>
      <c r="D15" s="4">
        <v>5800</v>
      </c>
    </row>
    <row r="16" ht="33" spans="1:4">
      <c r="A16" s="5" t="s">
        <v>203</v>
      </c>
      <c r="B16" s="5" t="s">
        <v>219</v>
      </c>
      <c r="C16" s="5" t="s">
        <v>220</v>
      </c>
      <c r="D16" s="6">
        <v>2800</v>
      </c>
    </row>
    <row r="17" ht="33" spans="1:4">
      <c r="A17" s="3" t="s">
        <v>203</v>
      </c>
      <c r="B17" s="3" t="s">
        <v>221</v>
      </c>
      <c r="C17" s="3" t="s">
        <v>222</v>
      </c>
      <c r="D17" s="4">
        <v>4200</v>
      </c>
    </row>
    <row r="18" ht="33" spans="1:4">
      <c r="A18" s="5" t="s">
        <v>223</v>
      </c>
      <c r="B18" s="5" t="s">
        <v>224</v>
      </c>
      <c r="C18" s="5" t="s">
        <v>225</v>
      </c>
      <c r="D18" s="6">
        <v>1800</v>
      </c>
    </row>
    <row r="19" ht="33" spans="1:4">
      <c r="A19" s="3" t="s">
        <v>226</v>
      </c>
      <c r="B19" s="3" t="s">
        <v>227</v>
      </c>
      <c r="C19" s="3" t="s">
        <v>228</v>
      </c>
      <c r="D19" s="4">
        <v>3200</v>
      </c>
    </row>
    <row r="20" ht="99" spans="1:4">
      <c r="A20" s="5" t="s">
        <v>229</v>
      </c>
      <c r="B20" s="5" t="s">
        <v>230</v>
      </c>
      <c r="C20" s="5" t="s">
        <v>231</v>
      </c>
      <c r="D20" s="6">
        <v>1500</v>
      </c>
    </row>
    <row r="21" ht="99" spans="1:4">
      <c r="A21" s="3"/>
      <c r="B21" s="3" t="s">
        <v>232</v>
      </c>
      <c r="C21" s="3" t="s">
        <v>233</v>
      </c>
      <c r="D21" s="4">
        <v>6600</v>
      </c>
    </row>
    <row r="22" ht="16.5" spans="1:4">
      <c r="A22" s="5" t="s">
        <v>234</v>
      </c>
      <c r="B22" s="5" t="s">
        <v>235</v>
      </c>
      <c r="C22" s="5"/>
      <c r="D22" s="6">
        <v>2800</v>
      </c>
    </row>
    <row r="23" ht="16.5" spans="1:4">
      <c r="A23" s="5"/>
      <c r="B23" s="3" t="s">
        <v>236</v>
      </c>
      <c r="C23" s="3"/>
      <c r="D23" s="4">
        <v>4500</v>
      </c>
    </row>
    <row r="24" ht="16.5" spans="1:4">
      <c r="A24" s="5"/>
      <c r="B24" s="5" t="s">
        <v>237</v>
      </c>
      <c r="C24" s="5"/>
      <c r="D24" s="6">
        <v>9500</v>
      </c>
    </row>
    <row r="25" ht="16.5" spans="1:4">
      <c r="A25" s="5"/>
      <c r="B25" s="3" t="s">
        <v>238</v>
      </c>
      <c r="C25" s="3"/>
      <c r="D25" s="4">
        <v>18000</v>
      </c>
    </row>
    <row r="26" ht="33" spans="1:4">
      <c r="A26" s="3" t="s">
        <v>239</v>
      </c>
      <c r="B26" s="3" t="s">
        <v>240</v>
      </c>
      <c r="C26" s="3" t="s">
        <v>241</v>
      </c>
      <c r="D26" s="4">
        <v>1550</v>
      </c>
    </row>
    <row r="27" ht="33" spans="1:4">
      <c r="A27" s="10" t="s">
        <v>242</v>
      </c>
      <c r="B27" s="10" t="s">
        <v>243</v>
      </c>
      <c r="C27" s="5" t="s">
        <v>244</v>
      </c>
      <c r="D27" s="11">
        <v>3500</v>
      </c>
    </row>
    <row r="28" ht="16.5" spans="1:4">
      <c r="A28" s="3" t="s">
        <v>245</v>
      </c>
      <c r="B28" s="3" t="s">
        <v>246</v>
      </c>
      <c r="C28" s="3" t="s">
        <v>247</v>
      </c>
      <c r="D28" s="4">
        <v>180</v>
      </c>
    </row>
    <row r="29" ht="16.5" spans="1:4">
      <c r="A29" s="5" t="s">
        <v>248</v>
      </c>
      <c r="B29" s="5" t="s">
        <v>249</v>
      </c>
      <c r="C29" s="5" t="s">
        <v>247</v>
      </c>
      <c r="D29" s="6">
        <v>260</v>
      </c>
    </row>
    <row r="30" ht="16.5" spans="1:4">
      <c r="A30" s="3" t="s">
        <v>250</v>
      </c>
      <c r="B30" s="3" t="s">
        <v>251</v>
      </c>
      <c r="C30" s="3" t="s">
        <v>252</v>
      </c>
      <c r="D30" s="4">
        <v>350</v>
      </c>
    </row>
    <row r="31" ht="33" spans="1:4">
      <c r="A31" s="12" t="s">
        <v>253</v>
      </c>
      <c r="B31" s="12"/>
      <c r="C31" s="12"/>
      <c r="D31" s="13"/>
    </row>
    <row r="32" ht="33" spans="1:4">
      <c r="A32" s="3" t="s">
        <v>254</v>
      </c>
      <c r="B32" s="3" t="s">
        <v>255</v>
      </c>
      <c r="C32" s="3" t="s">
        <v>256</v>
      </c>
      <c r="D32" s="4">
        <v>1800</v>
      </c>
    </row>
    <row r="33" ht="33" spans="1:4">
      <c r="A33" s="5" t="s">
        <v>210</v>
      </c>
      <c r="B33" s="5" t="s">
        <v>257</v>
      </c>
      <c r="C33" s="5" t="s">
        <v>258</v>
      </c>
      <c r="D33" s="6">
        <v>5500</v>
      </c>
    </row>
    <row r="34" ht="33" spans="1:4">
      <c r="A34" s="3" t="s">
        <v>213</v>
      </c>
      <c r="B34" s="3" t="s">
        <v>259</v>
      </c>
      <c r="C34" s="3" t="s">
        <v>260</v>
      </c>
      <c r="D34" s="4">
        <v>5800</v>
      </c>
    </row>
    <row r="35" ht="33" spans="1:4">
      <c r="A35" s="5" t="s">
        <v>216</v>
      </c>
      <c r="B35" s="5" t="s">
        <v>261</v>
      </c>
      <c r="C35" s="5" t="s">
        <v>262</v>
      </c>
      <c r="D35" s="6">
        <v>9800</v>
      </c>
    </row>
    <row r="36" ht="33" spans="1:4">
      <c r="A36" s="3" t="s">
        <v>203</v>
      </c>
      <c r="B36" s="3" t="s">
        <v>263</v>
      </c>
      <c r="C36" s="3" t="s">
        <v>264</v>
      </c>
      <c r="D36" s="4">
        <v>6500</v>
      </c>
    </row>
    <row r="37" ht="33" spans="1:4">
      <c r="A37" s="5" t="s">
        <v>200</v>
      </c>
      <c r="B37" s="5" t="s">
        <v>265</v>
      </c>
      <c r="C37" s="5" t="s">
        <v>258</v>
      </c>
      <c r="D37" s="6">
        <v>3200</v>
      </c>
    </row>
    <row r="38" ht="33" spans="1:4">
      <c r="A38" s="3" t="s">
        <v>266</v>
      </c>
      <c r="B38" s="3" t="s">
        <v>267</v>
      </c>
      <c r="C38" s="3" t="s">
        <v>268</v>
      </c>
      <c r="D38" s="4">
        <v>5200</v>
      </c>
    </row>
    <row r="39" ht="15" spans="1:4">
      <c r="A39" s="14" t="s">
        <v>269</v>
      </c>
      <c r="B39" s="14"/>
      <c r="C39" s="14"/>
      <c r="D39" s="14"/>
    </row>
    <row r="40" ht="33" spans="1:4">
      <c r="A40" s="5" t="s">
        <v>254</v>
      </c>
      <c r="B40" s="5" t="s">
        <v>270</v>
      </c>
      <c r="C40" s="5" t="s">
        <v>271</v>
      </c>
      <c r="D40" s="6">
        <v>9100</v>
      </c>
    </row>
    <row r="41" ht="33" spans="1:4">
      <c r="A41" s="3" t="s">
        <v>210</v>
      </c>
      <c r="B41" s="3" t="s">
        <v>272</v>
      </c>
      <c r="C41" s="3" t="s">
        <v>273</v>
      </c>
      <c r="D41" s="4">
        <v>12000</v>
      </c>
    </row>
    <row r="42" ht="33" spans="1:4">
      <c r="A42" s="5" t="s">
        <v>213</v>
      </c>
      <c r="B42" s="5" t="s">
        <v>274</v>
      </c>
      <c r="C42" s="5" t="s">
        <v>275</v>
      </c>
      <c r="D42" s="6">
        <v>13500</v>
      </c>
    </row>
    <row r="43" ht="33" spans="1:4">
      <c r="A43" s="3" t="s">
        <v>216</v>
      </c>
      <c r="B43" s="3" t="s">
        <v>276</v>
      </c>
      <c r="C43" s="3" t="s">
        <v>277</v>
      </c>
      <c r="D43" s="4">
        <v>22000</v>
      </c>
    </row>
    <row r="44" ht="33" spans="1:4">
      <c r="A44" s="5" t="s">
        <v>203</v>
      </c>
      <c r="B44" s="5" t="s">
        <v>278</v>
      </c>
      <c r="C44" s="5" t="s">
        <v>279</v>
      </c>
      <c r="D44" s="6">
        <v>9800</v>
      </c>
    </row>
    <row r="45" ht="33" spans="1:4">
      <c r="A45" s="3" t="s">
        <v>200</v>
      </c>
      <c r="B45" s="3" t="s">
        <v>280</v>
      </c>
      <c r="C45" s="3" t="s">
        <v>281</v>
      </c>
      <c r="D45" s="4">
        <v>5500</v>
      </c>
    </row>
    <row r="46" ht="33" spans="1:4">
      <c r="A46" s="5" t="s">
        <v>266</v>
      </c>
      <c r="B46" s="5" t="s">
        <v>282</v>
      </c>
      <c r="C46" s="5" t="s">
        <v>283</v>
      </c>
      <c r="D46" s="6">
        <v>8500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39:D39"/>
    <mergeCell ref="A22:A2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510854825" otherUserPermission="edit">
    <arrUserId title="Range2" rangeCreator="510854825" othersAccessPermission="visible">
      <userID accessPermission="edit">510854825</userID>
    </arrUserId>
  </rangeList>
  <rangeList sheetStid="2" master="" otherUserPermission="edit"/>
  <rangeList sheetStid="3" master="" otherUserPermission="edit"/>
  <rangeList sheetStid="5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48751293386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报价单</vt:lpstr>
      <vt:lpstr>数据库（价格维护）</vt:lpstr>
      <vt:lpstr>使用方法</vt:lpstr>
      <vt:lpstr>网络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戚文凯</cp:lastModifiedBy>
  <dcterms:created xsi:type="dcterms:W3CDTF">2006-09-24T08:00:00Z</dcterms:created>
  <dcterms:modified xsi:type="dcterms:W3CDTF">2026-02-06T16:59:00Z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2052-12.9.0.28579</vt:lpwstr>
  </property>
  <property fmtid="{D5CDD505-2E9C-101B-9397-08002B2CF9AE}" pid="3" name="ICV">
    <vt:lpwstr>E3386D99AC434403BF44D64B780F773C_13</vt:lpwstr>
  </property>
  <property fmtid="{D5CDD505-2E9C-101B-9397-08002B2CF9AE}" pid="4" name="CalculationRule">
    <vt:i4>0</vt:i4>
  </property>
</Properties>
</file>